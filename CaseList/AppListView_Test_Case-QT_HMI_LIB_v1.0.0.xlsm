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1"/>
  <bookViews>
    <workbookView xWindow="0" yWindow="120" windowWidth="20490" windowHeight="7635" tabRatio="855"/>
  </bookViews>
  <sheets>
    <sheet name="Overview" sheetId="1" r:id="rId1"/>
    <sheet name="onChildAppSelected" sheetId="2" r:id="rId2"/>
    <sheet name="Version" sheetId="14" r:id="rId3"/>
  </sheets>
  <externalReferences>
    <externalReference r:id="rId4"/>
  </externalReferences>
  <definedNames>
    <definedName name="Environment">"#REF!"</definedName>
    <definedName name="Environment_1">"#REF!"</definedName>
    <definedName name="Environment_2">"#REF!"</definedName>
    <definedName name="Feature">"#REF!"</definedName>
    <definedName name="Feature_1">"#REF!"</definedName>
    <definedName name="Feature_2">"#REF!"</definedName>
    <definedName name="FPN">"#REF!"</definedName>
    <definedName name="FPN_1">"#REF!"</definedName>
    <definedName name="FPN_2">"#REF!"</definedName>
    <definedName name="LocationLookup">[1]Lookups!$E$2:$E$5</definedName>
    <definedName name="PartNumberLookup">#N/A</definedName>
    <definedName name="Radio">"#REF!"</definedName>
    <definedName name="Radio_1">"#REF!"</definedName>
    <definedName name="Radio_2">"#REF!"</definedName>
    <definedName name="Result">"#REF!"</definedName>
    <definedName name="Result_1">"#REF!"</definedName>
    <definedName name="Result_2">"#REF!"</definedName>
    <definedName name="SW_History">#N/A</definedName>
    <definedName name="SW_History_1">#N/A</definedName>
    <definedName name="SW_History_2">#N/A</definedName>
    <definedName name="SW_History_3">#N/A</definedName>
    <definedName name="SW_History_4">#N/A</definedName>
    <definedName name="SW_History_5">#N/A</definedName>
    <definedName name="Sync_Version">"#REF!"</definedName>
    <definedName name="Sync_Version_1">"#REF!"</definedName>
    <definedName name="Sync_Version_2">"#REF!"</definedName>
    <definedName name="Test_Method">"#REF!"</definedName>
    <definedName name="Test_Method_1">"#REF!"</definedName>
    <definedName name="Test_Method_2">"#REF!"</definedName>
    <definedName name="VMCU">"#REF!"</definedName>
    <definedName name="VMCU_1">"#REF!"</definedName>
    <definedName name="VMCU_2">"#REF!"</definedName>
  </definedNames>
  <calcPr calcId="145621"/>
</workbook>
</file>

<file path=xl/calcChain.xml><?xml version="1.0" encoding="utf-8"?>
<calcChain xmlns="http://schemas.openxmlformats.org/spreadsheetml/2006/main">
  <c r="H38" i="1" l="1"/>
  <c r="G38" i="1"/>
  <c r="F38" i="1"/>
  <c r="E38" i="1"/>
  <c r="H37" i="1"/>
  <c r="G37" i="1"/>
  <c r="F37" i="1"/>
  <c r="E37" i="1"/>
  <c r="H36" i="1"/>
  <c r="G36" i="1"/>
  <c r="F36" i="1"/>
  <c r="E36" i="1"/>
  <c r="I38" i="1" l="1"/>
  <c r="I37" i="1"/>
  <c r="I36" i="1"/>
  <c r="E34" i="1"/>
  <c r="H35" i="1" l="1"/>
  <c r="G35" i="1"/>
  <c r="F35" i="1"/>
  <c r="E35" i="1"/>
  <c r="H34" i="1"/>
  <c r="G34" i="1"/>
  <c r="F34" i="1"/>
  <c r="I35" i="1" l="1"/>
  <c r="H19" i="1"/>
  <c r="I19" i="1"/>
  <c r="I34" i="1"/>
  <c r="F19" i="1"/>
  <c r="G19" i="1"/>
  <c r="E40" i="1" l="1"/>
  <c r="F26" i="1"/>
  <c r="I26" i="1"/>
  <c r="H26" i="1"/>
  <c r="E19" i="1"/>
  <c r="J19" i="1" s="1"/>
  <c r="G26" i="1"/>
  <c r="E26" i="1" l="1"/>
  <c r="J26" i="1" s="1"/>
</calcChain>
</file>

<file path=xl/comments1.xml><?xml version="1.0" encoding="utf-8"?>
<comments xmlns="http://schemas.openxmlformats.org/spreadsheetml/2006/main">
  <authors>
    <author>Cheng, kyle (Q.)</author>
  </authors>
  <commentList>
    <comment ref="B11" authorId="0">
      <text>
        <r>
          <rPr>
            <b/>
            <sz val="9"/>
            <color indexed="81"/>
            <rFont val="Tahoma"/>
            <family val="2"/>
          </rPr>
          <t>Cheng, kyle (Q.):</t>
        </r>
        <r>
          <rPr>
            <sz val="9"/>
            <color indexed="81"/>
            <rFont val="Tahoma"/>
            <family val="2"/>
          </rPr>
          <t xml:space="preserve">
Not Applicable, for some phones app cannot be found after reboot until app is opened by user for once.</t>
        </r>
      </text>
    </comment>
  </commentList>
</comments>
</file>

<file path=xl/sharedStrings.xml><?xml version="1.0" encoding="utf-8"?>
<sst xmlns="http://schemas.openxmlformats.org/spreadsheetml/2006/main" count="128" uniqueCount="99">
  <si>
    <t>Tester Name:</t>
  </si>
  <si>
    <t>Test Execution Date</t>
  </si>
  <si>
    <t>TEST  RESULT  SUMMARY</t>
  </si>
  <si>
    <t>Test Procedure #</t>
  </si>
  <si>
    <t>Test Procedure</t>
  </si>
  <si>
    <t>Testing Date</t>
  </si>
  <si>
    <t>Total No. of Test Steps</t>
  </si>
  <si>
    <t>No. of Test Steps Not Executed</t>
  </si>
  <si>
    <t>No. of Test Steps Passed</t>
  </si>
  <si>
    <t>No. of Test Steps Failed</t>
  </si>
  <si>
    <t>No. of Test Steps Not Applicable</t>
  </si>
  <si>
    <t>% Pass Rate</t>
  </si>
  <si>
    <t>Comments</t>
  </si>
  <si>
    <t>Overall Status</t>
  </si>
  <si>
    <t>TEST  RESULT  OVERVIEW</t>
  </si>
  <si>
    <t xml:space="preserve">Testing Result </t>
  </si>
  <si>
    <t>Test Case Titles</t>
  </si>
  <si>
    <t>Pass</t>
  </si>
  <si>
    <t>Fail</t>
  </si>
  <si>
    <t>Not 
Executed</t>
  </si>
  <si>
    <t>Not 
Applicable</t>
  </si>
  <si>
    <t>Total</t>
  </si>
  <si>
    <t>TC #</t>
  </si>
  <si>
    <t>Version #</t>
  </si>
  <si>
    <t>Date of Changes</t>
  </si>
  <si>
    <t xml:space="preserve">Author </t>
  </si>
  <si>
    <t>Reviewer</t>
  </si>
  <si>
    <t>Change Description</t>
  </si>
  <si>
    <t>Test Steps and Preconditions</t>
  </si>
  <si>
    <t>Expected Results</t>
  </si>
  <si>
    <t>Actual Results</t>
  </si>
  <si>
    <t>zenghuan</t>
    <phoneticPr fontId="35" type="noConversion"/>
  </si>
  <si>
    <t>Created test cases and changed format for Gen3</t>
    <phoneticPr fontId="35" type="noConversion"/>
  </si>
  <si>
    <t>Alert Test Plan Document</t>
    <phoneticPr fontId="35" type="noConversion"/>
  </si>
  <si>
    <t>FULL TEST CASE RESULTS</t>
    <phoneticPr fontId="35" type="noConversion"/>
  </si>
  <si>
    <t>HMI TESTING INFORMATION</t>
    <phoneticPr fontId="35" type="noConversion"/>
  </si>
  <si>
    <t>MODIFICATIONS NOTES</t>
    <phoneticPr fontId="35" type="noConversion"/>
  </si>
  <si>
    <t>VALIDATION INFORMATION</t>
    <phoneticPr fontId="35" type="noConversion"/>
  </si>
  <si>
    <t>Doumnet Reference</t>
    <phoneticPr fontId="35" type="noConversion"/>
  </si>
  <si>
    <t>Test Files</t>
    <phoneticPr fontId="35" type="noConversion"/>
  </si>
  <si>
    <t>Version or Drop Date</t>
    <phoneticPr fontId="35" type="noConversion"/>
  </si>
  <si>
    <t>% Complete for 1.1</t>
    <phoneticPr fontId="35" type="noConversion"/>
  </si>
  <si>
    <t>Test Procedure (1.1:Alert Soft Button Clicked)</t>
    <phoneticPr fontId="35" type="noConversion"/>
  </si>
  <si>
    <t>AppListViewTest.h/cpp</t>
    <phoneticPr fontId="35" type="noConversion"/>
  </si>
  <si>
    <t>2.1.1 onChildAppSelected_NegativeOne</t>
    <phoneticPr fontId="35" type="noConversion"/>
  </si>
  <si>
    <t>2.1.2 onChildAppSelected_NegativeTwo</t>
    <phoneticPr fontId="35" type="noConversion"/>
  </si>
  <si>
    <t>2.1.3 onChildAppSelected_Hundred</t>
    <phoneticPr fontId="35" type="noConversion"/>
  </si>
  <si>
    <t>2.1.4 onChildAppSelected_sendNotification</t>
    <phoneticPr fontId="35" type="noConversion"/>
  </si>
  <si>
    <t>2.1.5 onChildAppSelected_onAppShow</t>
    <phoneticPr fontId="35" type="noConversion"/>
  </si>
  <si>
    <t>2.1 onChildAppSelected</t>
    <phoneticPr fontId="35" type="noConversion"/>
  </si>
  <si>
    <t xml:space="preserve">2.1.1 </t>
    <phoneticPr fontId="35" type="noConversion"/>
  </si>
  <si>
    <t>onChildAppSelected</t>
    <phoneticPr fontId="35" type="noConversion"/>
  </si>
  <si>
    <t>2.1.2</t>
    <phoneticPr fontId="35" type="noConversion"/>
  </si>
  <si>
    <t>2.1.3</t>
    <phoneticPr fontId="35" type="noConversion"/>
  </si>
  <si>
    <t>2.1.4</t>
    <phoneticPr fontId="35" type="noConversion"/>
  </si>
  <si>
    <t>2.1.5</t>
    <phoneticPr fontId="35" type="noConversion"/>
  </si>
  <si>
    <t>9th Apr 2018</t>
    <phoneticPr fontId="35" type="noConversion"/>
  </si>
  <si>
    <r>
      <t>Vehicle:</t>
    </r>
    <r>
      <rPr>
        <sz val="11"/>
        <rFont val="Calibri"/>
        <family val="2"/>
      </rPr>
      <t xml:space="preserve">     (Ignition: ON)    (Door Status: CLOSED)      (Door: LOCKED)
</t>
    </r>
    <r>
      <rPr>
        <b/>
        <sz val="11"/>
        <rFont val="Calibri"/>
        <family val="2"/>
      </rPr>
      <t xml:space="preserve">Mock Object : </t>
    </r>
    <r>
      <rPr>
        <sz val="11"/>
        <rFont val="Calibri"/>
        <family val="2"/>
      </rPr>
      <t xml:space="preserve"> (AppListMock: appListMock)  </t>
    </r>
    <r>
      <rPr>
        <b/>
        <sz val="11"/>
        <rFont val="Calibri"/>
        <family val="2"/>
      </rPr>
      <t xml:space="preserve">
Test Object:</t>
    </r>
    <r>
      <rPr>
        <sz val="11"/>
        <rFont val="Calibri"/>
        <family val="2"/>
      </rPr>
      <t xml:space="preserve">      (CAppListView : cAppListView(&amp;appListMock))    </t>
    </r>
    <phoneticPr fontId="35" type="noConversion"/>
  </si>
  <si>
    <t>EXPECT_CALL(appListMock,OnStartDeviceDiscovery()).Times(AtLeast(1));</t>
    <phoneticPr fontId="35" type="noConversion"/>
  </si>
  <si>
    <t xml:space="preserve"> Mock  OnStartDeviceDiscovery(): YES</t>
    <phoneticPr fontId="35" type="noConversion"/>
  </si>
  <si>
    <t>EXPECT_CALL(appListMock,OnShowDeviceList()).Times(AtLeast(1));</t>
    <phoneticPr fontId="35" type="noConversion"/>
  </si>
  <si>
    <t>Mock OnShowDeviceList()  : YES</t>
    <phoneticPr fontId="35" type="noConversion"/>
  </si>
  <si>
    <t>cAppListView.onChildAppSelected(-1);</t>
    <phoneticPr fontId="35" type="noConversion"/>
  </si>
  <si>
    <t>onChildAppSelected(int) Interface input -1: YES</t>
    <phoneticPr fontId="35" type="noConversion"/>
  </si>
  <si>
    <t>onChildAppSelected_NegativeOne</t>
    <phoneticPr fontId="35" type="noConversion"/>
  </si>
  <si>
    <r>
      <t xml:space="preserve">Vehicle:    </t>
    </r>
    <r>
      <rPr>
        <sz val="11"/>
        <rFont val="Calibri"/>
        <family val="2"/>
      </rPr>
      <t xml:space="preserve"> (Ignition: ON)    (Door Status: CLOSED)      (Door: LOCKED)</t>
    </r>
    <r>
      <rPr>
        <b/>
        <sz val="11"/>
        <rFont val="Calibri"/>
        <family val="2"/>
      </rPr>
      <t xml:space="preserve">
Mock Object : </t>
    </r>
    <r>
      <rPr>
        <sz val="11"/>
        <rFont val="Calibri"/>
        <family val="2"/>
      </rPr>
      <t xml:space="preserve"> (AppListMock: appListMock) </t>
    </r>
    <r>
      <rPr>
        <b/>
        <sz val="11"/>
        <rFont val="Calibri"/>
        <family val="2"/>
      </rPr>
      <t xml:space="preserve">
Test Object:     </t>
    </r>
    <r>
      <rPr>
        <sz val="11"/>
        <rFont val="Calibri"/>
        <family val="2"/>
      </rPr>
      <t xml:space="preserve"> (CAppListView : cAppListView(&amp;appListMock)) </t>
    </r>
    <r>
      <rPr>
        <b/>
        <sz val="11"/>
        <rFont val="Calibri"/>
        <family val="2"/>
      </rPr>
      <t xml:space="preserve"> </t>
    </r>
    <r>
      <rPr>
        <sz val="11"/>
        <rFont val="Calibri"/>
        <family val="2"/>
      </rPr>
      <t xml:space="preserve">    </t>
    </r>
    <phoneticPr fontId="35" type="noConversion"/>
  </si>
  <si>
    <t>EXPECT_CALL(appListMock,OnShowDeviceList()).Times(AtLeast(0));</t>
    <phoneticPr fontId="35" type="noConversion"/>
  </si>
  <si>
    <t>cAppListView.onChildAppSelected(-2);</t>
    <phoneticPr fontId="35" type="noConversion"/>
  </si>
  <si>
    <t>onChildAppSelected(int) Interface input -2: YES</t>
    <phoneticPr fontId="35" type="noConversion"/>
  </si>
  <si>
    <t>EXPECT_CALL(appListMock,OnStartDeviceDiscovery()).Times(AtLeast(0));</t>
    <phoneticPr fontId="35" type="noConversion"/>
  </si>
  <si>
    <t>EXPECT_CALL(appListMock,OnStartDeviceDiscovery()).Times(AtLeast(1));</t>
    <phoneticPr fontId="35" type="noConversion"/>
  </si>
  <si>
    <t>cAppListView.onChildAppSelected(100);</t>
    <phoneticPr fontId="35" type="noConversion"/>
  </si>
  <si>
    <t>onChildAppSelected(int) Interface input 100: YES</t>
    <phoneticPr fontId="35" type="noConversion"/>
  </si>
  <si>
    <t>EXPECT_CALL(appListMock,OnAppActivated()).Times(AtLeast(1));</t>
    <phoneticPr fontId="35" type="noConversion"/>
  </si>
  <si>
    <t xml:space="preserve"> Mock  OnAppActivated(): YES</t>
    <phoneticPr fontId="35" type="noConversion"/>
  </si>
  <si>
    <t>ON_CALL(*this,OnStartDeviceDiscovery()).WillByDefault(Invoke(&amp;applist_,&amp;AppList::OnStartDeviceDiscovery()));</t>
    <phoneticPr fontId="35" type="noConversion"/>
  </si>
  <si>
    <t>AppListMock object Mock InVoke  OnStartDeviceDiscovery(): YES</t>
    <phoneticPr fontId="35" type="noConversion"/>
  </si>
  <si>
    <t>cAppListView.onChildAppSelected(-1);</t>
    <phoneticPr fontId="35" type="noConversion"/>
  </si>
  <si>
    <t>onChildAppSelected_Hundred</t>
    <phoneticPr fontId="35" type="noConversion"/>
  </si>
  <si>
    <t>onChildAppSelected_SendNotification</t>
    <phoneticPr fontId="35" type="noConversion"/>
  </si>
  <si>
    <t>onChildAppSelected_onAppShow</t>
    <phoneticPr fontId="35" type="noConversion"/>
  </si>
  <si>
    <r>
      <t>Vehicle:</t>
    </r>
    <r>
      <rPr>
        <sz val="11"/>
        <rFont val="Calibri"/>
        <family val="2"/>
      </rPr>
      <t xml:space="preserve">     (Ignition: ON)    (Door Status: CLOSED)      (Door: LOCKED)
</t>
    </r>
    <r>
      <rPr>
        <b/>
        <sz val="11"/>
        <rFont val="Calibri"/>
        <family val="2"/>
      </rPr>
      <t xml:space="preserve">Mock Object : </t>
    </r>
    <r>
      <rPr>
        <sz val="11"/>
        <rFont val="Calibri"/>
        <family val="2"/>
      </rPr>
      <t xml:space="preserve"> (AppListMock: appListMock)</t>
    </r>
    <r>
      <rPr>
        <b/>
        <sz val="11"/>
        <rFont val="Calibri"/>
        <family val="2"/>
      </rPr>
      <t xml:space="preserve">
Test Object:</t>
    </r>
    <r>
      <rPr>
        <sz val="11"/>
        <rFont val="Calibri"/>
        <family val="2"/>
      </rPr>
      <t xml:space="preserve">     (CAppListView : cAppListView(&amp;appListMock))      </t>
    </r>
    <phoneticPr fontId="35" type="noConversion"/>
  </si>
  <si>
    <r>
      <t>Vehicle:</t>
    </r>
    <r>
      <rPr>
        <sz val="11"/>
        <rFont val="Calibri"/>
        <family val="2"/>
      </rPr>
      <t xml:space="preserve">     (Ignition: ON)    (Door Status: CLOSED)      (Door: LOCKED)
</t>
    </r>
    <r>
      <rPr>
        <b/>
        <sz val="11"/>
        <rFont val="Calibri"/>
        <family val="2"/>
      </rPr>
      <t xml:space="preserve">Mock Object : </t>
    </r>
    <r>
      <rPr>
        <sz val="11"/>
        <rFont val="Calibri"/>
        <family val="2"/>
      </rPr>
      <t xml:space="preserve"> (AppListMock: appListMock)   </t>
    </r>
    <r>
      <rPr>
        <b/>
        <sz val="11"/>
        <rFont val="Calibri"/>
        <family val="2"/>
      </rPr>
      <t xml:space="preserve">
Test Object:</t>
    </r>
    <r>
      <rPr>
        <sz val="11"/>
        <rFont val="Calibri"/>
        <family val="2"/>
      </rPr>
      <t xml:space="preserve">      (CAppListView : cAppListView(&amp;appListMock))</t>
    </r>
    <phoneticPr fontId="35" type="noConversion"/>
  </si>
  <si>
    <r>
      <t>Vehicle:</t>
    </r>
    <r>
      <rPr>
        <sz val="11"/>
        <rFont val="Calibri"/>
        <family val="2"/>
      </rPr>
      <t xml:space="preserve">     (Ignition: ON)    (Door Status: CLOSED)      (Door: LOCKED)
</t>
    </r>
    <r>
      <rPr>
        <b/>
        <sz val="11"/>
        <rFont val="Calibri"/>
        <family val="2"/>
      </rPr>
      <t xml:space="preserve">Mock Object : </t>
    </r>
    <r>
      <rPr>
        <sz val="11"/>
        <rFont val="Calibri"/>
        <family val="2"/>
      </rPr>
      <t xml:space="preserve"> (AppListMock: appListMock)  (AppList:appList) (UIInterfaceMock:uiInterfaceMock)</t>
    </r>
    <r>
      <rPr>
        <b/>
        <sz val="11"/>
        <rFont val="Calibri"/>
        <family val="2"/>
      </rPr>
      <t xml:space="preserve">
Test Object:</t>
    </r>
    <r>
      <rPr>
        <sz val="11"/>
        <rFont val="Calibri"/>
        <family val="2"/>
      </rPr>
      <t xml:space="preserve">     (CAppListView : cAppListView(&amp;appListMock))</t>
    </r>
    <phoneticPr fontId="35" type="noConversion"/>
  </si>
  <si>
    <t>EXPECT_CALL(appListMock,OnShowDeviceList()).Times(AtLeast(0));</t>
    <phoneticPr fontId="35" type="noConversion"/>
  </si>
  <si>
    <t>ON_CALL(appListMock,OnShowDeviceList()).WillByDefault(Invoke(&amp;appList,&amp;AppList::OnShowDeviceList));</t>
    <phoneticPr fontId="35" type="noConversion"/>
  </si>
  <si>
    <t>EXPECT_CALL(appListMock,OnStartDeviceDiscovery()).Times(AtLeast(1));</t>
    <phoneticPr fontId="35" type="noConversion"/>
  </si>
  <si>
    <t>AppListMock object Mock InVoke  OnShowDeviceList(): YES</t>
    <phoneticPr fontId="35" type="noConversion"/>
  </si>
  <si>
    <t>ON_CALL(appListMock,setUIManager(&amp;uiInterfaceMock)).WillByDefault(Invoke(&amp;appList,&amp;AppList::setUIManager));</t>
    <phoneticPr fontId="35" type="noConversion"/>
  </si>
  <si>
    <t>appListMock object Mock InVoke  setUIManager(&amp;uiInterfaceMock): YES</t>
    <phoneticPr fontId="35" type="noConversion"/>
  </si>
  <si>
    <t>Mock OnStartDeviceDiscovery(int)  : YES</t>
    <phoneticPr fontId="35" type="noConversion"/>
  </si>
  <si>
    <t>EXPECT_CALL(appListMock,setUIManager(_).Times(AtLeast(1));</t>
    <phoneticPr fontId="35" type="noConversion"/>
  </si>
  <si>
    <t>Mock setUIManager(_):YES</t>
    <phoneticPr fontId="35" type="noConversion"/>
  </si>
  <si>
    <t>EXPECT_CALL(uiInterfaceMock,onAppShow(ID_DEVICEVIEW)).Times(AtLeast(1));</t>
    <phoneticPr fontId="35" type="noConversion"/>
  </si>
  <si>
    <t>Mock onAppShow(ID_DEVICEVIEW):YES</t>
    <phoneticPr fontId="35" type="noConversion"/>
  </si>
  <si>
    <t>appListMock.setUIManager(&amp;uiInterfaceMock);</t>
    <phoneticPr fontId="35" type="noConversion"/>
  </si>
  <si>
    <t>setUIManager (UIInterface&amp;) Interface input  uiInterlaceMock: YES</t>
    <phoneticPr fontId="35" type="noConversion"/>
  </si>
  <si>
    <t>cAppListView.onChildAppSelected(-1);</t>
    <phoneticPr fontId="35" type="noConversion"/>
  </si>
  <si>
    <t>onChildAppSelected(-1) is called: YES</t>
    <phoneticPr fontId="3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</si>
</sst>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 x14ac:knownFonts="1">
    <font>
      <sz val="10"/>
      <name val="Arial"/>
      <family val="2"/>
    </font>
    <font>
      <sz val="10"/>
      <name val="Arial"/>
      <family val="2"/>
      <charset val="1"/>
    </font>
    <font>
      <sz val="12"/>
      <color indexed="8"/>
      <name val="Calibri"/>
      <family val="2"/>
      <charset val="1"/>
    </font>
    <font>
      <sz val="11"/>
      <color indexed="8"/>
      <name val="Calibri"/>
      <family val="2"/>
      <charset val="1"/>
    </font>
    <font>
      <b/>
      <sz val="20"/>
      <color indexed="56"/>
      <name val="Calibri"/>
      <family val="2"/>
      <charset val="1"/>
    </font>
    <font>
      <b/>
      <sz val="12"/>
      <color indexed="8"/>
      <name val="Calibri"/>
      <family val="2"/>
      <charset val="1"/>
    </font>
    <font>
      <b/>
      <sz val="16"/>
      <name val="Bookman Old Style"/>
      <family val="1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u/>
      <sz val="10"/>
      <color indexed="12"/>
      <name val="Arial"/>
      <family val="2"/>
      <charset val="1"/>
    </font>
    <font>
      <b/>
      <sz val="9"/>
      <name val="Trebuchet MS"/>
      <family val="2"/>
      <charset val="1"/>
    </font>
    <font>
      <b/>
      <sz val="13"/>
      <name val="Bookman Old Style"/>
      <family val="1"/>
      <charset val="1"/>
    </font>
    <font>
      <b/>
      <sz val="10"/>
      <name val="Bookman Old Style"/>
      <family val="1"/>
      <charset val="1"/>
    </font>
    <font>
      <sz val="10"/>
      <name val="Calibri"/>
      <family val="2"/>
      <charset val="1"/>
    </font>
    <font>
      <sz val="10"/>
      <name val="Bookman Old Style"/>
      <family val="1"/>
      <charset val="1"/>
    </font>
    <font>
      <b/>
      <sz val="11"/>
      <color indexed="8"/>
      <name val="Calibri"/>
      <family val="2"/>
      <charset val="1"/>
    </font>
    <font>
      <b/>
      <u/>
      <sz val="11"/>
      <name val="Calibri"/>
      <family val="2"/>
      <charset val="1"/>
    </font>
    <font>
      <b/>
      <sz val="11"/>
      <name val="Calibri"/>
      <family val="2"/>
      <charset val="1"/>
    </font>
    <font>
      <b/>
      <sz val="10"/>
      <color indexed="8"/>
      <name val="Arial"/>
      <family val="2"/>
      <charset val="1"/>
    </font>
    <font>
      <sz val="11"/>
      <color indexed="9"/>
      <name val="Calibri"/>
      <family val="2"/>
      <charset val="1"/>
    </font>
    <font>
      <sz val="10"/>
      <name val="Arial"/>
      <family val="2"/>
    </font>
    <font>
      <sz val="11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u/>
      <sz val="10"/>
      <color indexed="12"/>
      <name val="Arial"/>
      <family val="2"/>
    </font>
    <font>
      <sz val="12"/>
      <color theme="1"/>
      <name val="宋体"/>
      <family val="2"/>
      <scheme val="minor"/>
    </font>
    <font>
      <b/>
      <sz val="11"/>
      <color indexed="8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Arial"/>
      <family val="2"/>
    </font>
    <font>
      <b/>
      <sz val="9"/>
      <name val="Trebuchet MS"/>
      <family val="2"/>
    </font>
    <font>
      <b/>
      <sz val="14"/>
      <color rgb="FF002060"/>
      <name val="宋体"/>
      <family val="2"/>
      <scheme val="minor"/>
    </font>
    <font>
      <b/>
      <sz val="14"/>
      <color theme="1"/>
      <name val="宋体"/>
      <family val="2"/>
      <scheme val="minor"/>
    </font>
    <font>
      <b/>
      <sz val="11.5"/>
      <color theme="1"/>
      <name val="宋体"/>
      <family val="2"/>
      <scheme val="minor"/>
    </font>
    <font>
      <sz val="9"/>
      <name val="宋体"/>
      <family val="3"/>
      <charset val="134"/>
    </font>
  </fonts>
  <fills count="22">
    <fill>
      <patternFill patternType="none"/>
    </fill>
    <fill>
      <patternFill patternType="gray125"/>
    </fill>
    <fill>
      <patternFill patternType="solid">
        <fgColor indexed="42"/>
        <bgColor indexed="41"/>
      </patternFill>
    </fill>
    <fill>
      <patternFill patternType="solid">
        <fgColor indexed="9"/>
        <bgColor indexed="27"/>
      </patternFill>
    </fill>
    <fill>
      <patternFill patternType="solid">
        <fgColor indexed="55"/>
        <bgColor indexed="46"/>
      </patternFill>
    </fill>
    <fill>
      <patternFill patternType="solid">
        <fgColor indexed="43"/>
        <bgColor indexed="9"/>
      </patternFill>
    </fill>
    <fill>
      <patternFill patternType="solid">
        <fgColor indexed="22"/>
        <bgColor indexed="47"/>
      </patternFill>
    </fill>
    <fill>
      <patternFill patternType="solid">
        <fgColor indexed="57"/>
        <bgColor indexed="21"/>
      </patternFill>
    </fill>
    <fill>
      <patternFill patternType="solid">
        <fgColor indexed="10"/>
        <bgColor indexed="60"/>
      </patternFill>
    </fill>
    <fill>
      <patternFill patternType="solid">
        <fgColor indexed="51"/>
        <bgColor indexed="52"/>
      </patternFill>
    </fill>
    <fill>
      <patternFill patternType="solid">
        <fgColor indexed="49"/>
        <bgColor indexed="24"/>
      </patternFill>
    </fill>
    <fill>
      <patternFill patternType="solid">
        <fgColor indexed="46"/>
        <bgColor indexed="55"/>
      </patternFill>
    </fill>
    <fill>
      <patternFill patternType="solid">
        <fgColor indexed="44"/>
        <bgColor indexed="26"/>
      </patternFill>
    </fill>
    <fill>
      <patternFill patternType="solid">
        <fgColor indexed="54"/>
        <bgColor indexed="62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26"/>
      </patternFill>
    </fill>
    <fill>
      <patternFill patternType="solid">
        <fgColor theme="4" tint="0.59999389629810485"/>
        <bgColor indexed="27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91">
    <border>
      <left/>
      <right/>
      <top/>
      <bottom/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medium">
        <color indexed="8"/>
      </bottom>
      <diagonal/>
    </border>
    <border>
      <left style="double">
        <color indexed="8"/>
      </left>
      <right style="double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3" tint="0.39994506668294322"/>
      </bottom>
      <diagonal/>
    </border>
    <border>
      <left/>
      <right/>
      <top style="medium">
        <color indexed="64"/>
      </top>
      <bottom style="medium">
        <color theme="3" tint="0.39994506668294322"/>
      </bottom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 style="medium">
        <color theme="3" tint="0.39994506668294322"/>
      </top>
      <bottom style="medium">
        <color theme="3" tint="0.39994506668294322"/>
      </bottom>
      <diagonal/>
    </border>
    <border>
      <left/>
      <right/>
      <top style="medium">
        <color theme="3" tint="0.39994506668294322"/>
      </top>
      <bottom style="medium">
        <color theme="3" tint="0.39994506668294322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theme="3" tint="0.39994506668294322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auto="1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</borders>
  <cellStyleXfs count="9">
    <xf numFmtId="0" fontId="0" fillId="0" borderId="0"/>
    <xf numFmtId="0" fontId="9" fillId="0" borderId="0"/>
    <xf numFmtId="0" fontId="1" fillId="0" borderId="0"/>
    <xf numFmtId="0" fontId="2" fillId="0" borderId="0"/>
    <xf numFmtId="0" fontId="3" fillId="0" borderId="0"/>
    <xf numFmtId="0" fontId="21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4" fillId="0" borderId="0"/>
  </cellStyleXfs>
  <cellXfs count="144">
    <xf numFmtId="0" fontId="0" fillId="0" borderId="0" xfId="0"/>
    <xf numFmtId="0" fontId="3" fillId="0" borderId="0" xfId="4"/>
    <xf numFmtId="0" fontId="7" fillId="5" borderId="4" xfId="4" applyFont="1" applyFill="1" applyBorder="1" applyAlignment="1">
      <alignment horizontal="center" vertical="center" wrapText="1"/>
    </xf>
    <xf numFmtId="0" fontId="7" fillId="5" borderId="5" xfId="4" applyFont="1" applyFill="1" applyBorder="1" applyAlignment="1">
      <alignment horizontal="center" vertical="center" wrapText="1"/>
    </xf>
    <xf numFmtId="0" fontId="7" fillId="5" borderId="6" xfId="4" applyFont="1" applyFill="1" applyBorder="1" applyAlignment="1">
      <alignment horizontal="center" vertical="center" wrapText="1"/>
    </xf>
    <xf numFmtId="10" fontId="8" fillId="0" borderId="7" xfId="4" applyNumberFormat="1" applyFont="1" applyBorder="1" applyAlignment="1">
      <alignment horizontal="center" vertical="center" wrapText="1"/>
    </xf>
    <xf numFmtId="0" fontId="10" fillId="0" borderId="8" xfId="4" applyFont="1" applyFill="1" applyBorder="1" applyAlignment="1">
      <alignment wrapText="1"/>
    </xf>
    <xf numFmtId="0" fontId="7" fillId="5" borderId="10" xfId="4" applyFont="1" applyFill="1" applyBorder="1" applyAlignment="1">
      <alignment horizontal="center" vertical="center"/>
    </xf>
    <xf numFmtId="10" fontId="7" fillId="5" borderId="10" xfId="4" applyNumberFormat="1" applyFont="1" applyFill="1" applyBorder="1" applyAlignment="1">
      <alignment horizontal="center" vertical="center"/>
    </xf>
    <xf numFmtId="0" fontId="7" fillId="5" borderId="11" xfId="4" applyFont="1" applyFill="1" applyBorder="1" applyAlignment="1">
      <alignment horizontal="center" vertical="center"/>
    </xf>
    <xf numFmtId="0" fontId="3" fillId="0" borderId="0" xfId="4" applyAlignment="1">
      <alignment horizontal="center" vertical="center"/>
    </xf>
    <xf numFmtId="0" fontId="12" fillId="7" borderId="3" xfId="4" applyFont="1" applyFill="1" applyBorder="1" applyAlignment="1">
      <alignment horizontal="center" vertical="center"/>
    </xf>
    <xf numFmtId="0" fontId="12" fillId="8" borderId="3" xfId="4" applyFont="1" applyFill="1" applyBorder="1" applyAlignment="1">
      <alignment horizontal="center" vertical="center"/>
    </xf>
    <xf numFmtId="0" fontId="12" fillId="9" borderId="3" xfId="4" applyFont="1" applyFill="1" applyBorder="1" applyAlignment="1">
      <alignment horizontal="center" vertical="center" wrapText="1"/>
    </xf>
    <xf numFmtId="0" fontId="3" fillId="0" borderId="0" xfId="4" applyFont="1"/>
    <xf numFmtId="0" fontId="13" fillId="3" borderId="12" xfId="4" applyFont="1" applyFill="1" applyBorder="1" applyAlignment="1">
      <alignment horizontal="center" vertical="top"/>
    </xf>
    <xf numFmtId="0" fontId="3" fillId="0" borderId="0" xfId="4" applyAlignment="1" applyProtection="1">
      <alignment horizontal="center" vertical="center" wrapText="1"/>
      <protection locked="0"/>
    </xf>
    <xf numFmtId="0" fontId="3" fillId="0" borderId="0" xfId="4" applyAlignment="1" applyProtection="1">
      <alignment wrapText="1"/>
      <protection locked="0"/>
    </xf>
    <xf numFmtId="0" fontId="3" fillId="0" borderId="0" xfId="4" applyAlignment="1" applyProtection="1">
      <alignment horizontal="center" wrapText="1"/>
      <protection locked="0"/>
    </xf>
    <xf numFmtId="0" fontId="19" fillId="13" borderId="17" xfId="4" applyFont="1" applyFill="1" applyBorder="1"/>
    <xf numFmtId="0" fontId="19" fillId="13" borderId="18" xfId="4" applyFont="1" applyFill="1" applyBorder="1"/>
    <xf numFmtId="0" fontId="19" fillId="13" borderId="19" xfId="4" applyFont="1" applyFill="1" applyBorder="1"/>
    <xf numFmtId="0" fontId="5" fillId="10" borderId="26" xfId="4" applyFont="1" applyFill="1" applyBorder="1" applyAlignment="1" applyProtection="1">
      <alignment horizontal="center" vertical="center" wrapText="1"/>
    </xf>
    <xf numFmtId="0" fontId="5" fillId="10" borderId="27" xfId="4" applyFont="1" applyFill="1" applyBorder="1" applyAlignment="1" applyProtection="1">
      <alignment horizontal="center" vertical="center" wrapText="1"/>
    </xf>
    <xf numFmtId="0" fontId="3" fillId="15" borderId="28" xfId="4" applyFill="1" applyBorder="1" applyAlignment="1" applyProtection="1">
      <alignment wrapText="1"/>
      <protection locked="0"/>
    </xf>
    <xf numFmtId="0" fontId="15" fillId="11" borderId="22" xfId="4" applyFont="1" applyFill="1" applyBorder="1" applyAlignment="1" applyProtection="1">
      <alignment horizontal="center" vertical="center" wrapText="1"/>
    </xf>
    <xf numFmtId="0" fontId="15" fillId="15" borderId="23" xfId="4" applyFont="1" applyFill="1" applyBorder="1" applyAlignment="1" applyProtection="1">
      <alignment horizontal="center" vertical="center" wrapText="1"/>
    </xf>
    <xf numFmtId="0" fontId="1" fillId="17" borderId="32" xfId="4" applyFont="1" applyFill="1" applyBorder="1" applyAlignment="1">
      <alignment vertical="center" wrapText="1"/>
    </xf>
    <xf numFmtId="0" fontId="3" fillId="0" borderId="33" xfId="4" applyFont="1" applyBorder="1" applyAlignment="1" applyProtection="1">
      <alignment horizontal="center" vertical="center" wrapText="1"/>
      <protection locked="0"/>
    </xf>
    <xf numFmtId="0" fontId="3" fillId="0" borderId="34" xfId="4" applyBorder="1" applyAlignment="1" applyProtection="1">
      <alignment wrapText="1"/>
      <protection locked="0"/>
    </xf>
    <xf numFmtId="0" fontId="3" fillId="0" borderId="37" xfId="4" applyBorder="1" applyAlignment="1" applyProtection="1">
      <alignment wrapText="1"/>
      <protection locked="0"/>
    </xf>
    <xf numFmtId="0" fontId="1" fillId="17" borderId="38" xfId="4" applyFont="1" applyFill="1" applyBorder="1" applyAlignment="1">
      <alignment vertical="center" wrapText="1"/>
    </xf>
    <xf numFmtId="0" fontId="18" fillId="15" borderId="23" xfId="4" applyFont="1" applyFill="1" applyBorder="1" applyAlignment="1">
      <alignment vertical="center" wrapText="1"/>
    </xf>
    <xf numFmtId="0" fontId="1" fillId="15" borderId="23" xfId="4" applyFont="1" applyFill="1" applyBorder="1" applyAlignment="1">
      <alignment vertical="center" wrapText="1"/>
    </xf>
    <xf numFmtId="0" fontId="3" fillId="15" borderId="23" xfId="4" applyFont="1" applyFill="1" applyBorder="1" applyAlignment="1" applyProtection="1">
      <alignment horizontal="center" vertical="center" wrapText="1"/>
      <protection locked="0"/>
    </xf>
    <xf numFmtId="0" fontId="3" fillId="15" borderId="23" xfId="4" applyFill="1" applyBorder="1" applyAlignment="1" applyProtection="1">
      <alignment wrapText="1"/>
      <protection locked="0"/>
    </xf>
    <xf numFmtId="0" fontId="3" fillId="15" borderId="39" xfId="4" applyFill="1" applyBorder="1" applyAlignment="1" applyProtection="1">
      <alignment wrapText="1"/>
      <protection locked="0"/>
    </xf>
    <xf numFmtId="10" fontId="30" fillId="0" borderId="25" xfId="0" applyNumberFormat="1" applyFont="1" applyBorder="1" applyAlignment="1">
      <alignment horizontal="center" vertical="center" wrapText="1"/>
    </xf>
    <xf numFmtId="0" fontId="30" fillId="0" borderId="41" xfId="0" applyFont="1" applyBorder="1" applyAlignment="1"/>
    <xf numFmtId="0" fontId="31" fillId="0" borderId="41" xfId="0" applyFont="1" applyFill="1" applyBorder="1" applyAlignment="1">
      <alignment wrapText="1"/>
    </xf>
    <xf numFmtId="0" fontId="8" fillId="0" borderId="8" xfId="4" applyFont="1" applyFill="1" applyBorder="1" applyAlignment="1">
      <alignment wrapText="1"/>
    </xf>
    <xf numFmtId="0" fontId="8" fillId="0" borderId="44" xfId="4" applyFont="1" applyBorder="1" applyAlignment="1">
      <alignment horizontal="center" vertical="center" wrapText="1"/>
    </xf>
    <xf numFmtId="0" fontId="9" fillId="0" borderId="20" xfId="1" applyBorder="1"/>
    <xf numFmtId="0" fontId="7" fillId="5" borderId="46" xfId="4" applyFont="1" applyFill="1" applyBorder="1" applyAlignment="1">
      <alignment horizontal="center" vertical="center" wrapText="1"/>
    </xf>
    <xf numFmtId="14" fontId="30" fillId="0" borderId="20" xfId="0" applyNumberFormat="1" applyFont="1" applyBorder="1" applyAlignment="1">
      <alignment horizontal="center" vertical="center" wrapText="1"/>
    </xf>
    <xf numFmtId="14" fontId="8" fillId="0" borderId="20" xfId="4" applyNumberFormat="1" applyFont="1" applyBorder="1" applyAlignment="1">
      <alignment horizontal="center" vertical="center" wrapText="1"/>
    </xf>
    <xf numFmtId="0" fontId="3" fillId="0" borderId="47" xfId="4" applyFont="1" applyBorder="1" applyAlignment="1" applyProtection="1">
      <alignment horizontal="center" vertical="center" wrapText="1"/>
      <protection locked="0"/>
    </xf>
    <xf numFmtId="0" fontId="7" fillId="5" borderId="48" xfId="4" applyFont="1" applyFill="1" applyBorder="1" applyAlignment="1">
      <alignment horizontal="center" vertical="center" wrapText="1"/>
    </xf>
    <xf numFmtId="0" fontId="22" fillId="21" borderId="57" xfId="0" applyFont="1" applyFill="1" applyBorder="1" applyProtection="1"/>
    <xf numFmtId="0" fontId="22" fillId="21" borderId="62" xfId="0" applyFont="1" applyFill="1" applyBorder="1" applyAlignment="1" applyProtection="1">
      <alignment wrapText="1"/>
    </xf>
    <xf numFmtId="0" fontId="3" fillId="0" borderId="82" xfId="4" applyBorder="1" applyAlignment="1" applyProtection="1">
      <alignment wrapText="1"/>
      <protection locked="0"/>
    </xf>
    <xf numFmtId="14" fontId="3" fillId="0" borderId="0" xfId="4" applyNumberFormat="1"/>
    <xf numFmtId="0" fontId="30" fillId="0" borderId="25" xfId="0" applyFont="1" applyBorder="1" applyAlignment="1">
      <alignment horizontal="center" vertical="center" wrapText="1"/>
    </xf>
    <xf numFmtId="0" fontId="8" fillId="0" borderId="7" xfId="4" applyFont="1" applyBorder="1" applyAlignment="1">
      <alignment horizontal="center" vertical="center" wrapText="1"/>
    </xf>
    <xf numFmtId="0" fontId="1" fillId="18" borderId="36" xfId="4" applyFont="1" applyFill="1" applyBorder="1" applyAlignment="1">
      <alignment vertical="center" wrapText="1"/>
    </xf>
    <xf numFmtId="0" fontId="30" fillId="0" borderId="83" xfId="0" applyFont="1" applyBorder="1" applyAlignment="1">
      <alignment horizontal="center" vertical="center" wrapText="1"/>
    </xf>
    <xf numFmtId="0" fontId="3" fillId="0" borderId="0" xfId="4" applyAlignment="1">
      <alignment wrapText="1"/>
    </xf>
    <xf numFmtId="0" fontId="8" fillId="0" borderId="84" xfId="4" applyFont="1" applyBorder="1" applyAlignment="1">
      <alignment horizontal="center" vertical="center" wrapText="1"/>
    </xf>
    <xf numFmtId="0" fontId="10" fillId="0" borderId="85" xfId="4" applyFont="1" applyFill="1" applyBorder="1" applyAlignment="1">
      <alignment wrapText="1"/>
    </xf>
    <xf numFmtId="0" fontId="9" fillId="0" borderId="50" xfId="1" applyBorder="1"/>
    <xf numFmtId="0" fontId="18" fillId="12" borderId="35" xfId="4" applyFont="1" applyFill="1" applyBorder="1" applyAlignment="1">
      <alignment vertical="center" wrapText="1"/>
    </xf>
    <xf numFmtId="0" fontId="18" fillId="17" borderId="30" xfId="4" applyFont="1" applyFill="1" applyBorder="1" applyAlignment="1">
      <alignment vertical="center" wrapText="1"/>
    </xf>
    <xf numFmtId="0" fontId="1" fillId="17" borderId="31" xfId="4" applyFont="1" applyFill="1" applyBorder="1" applyAlignment="1">
      <alignment vertical="center" wrapText="1"/>
    </xf>
    <xf numFmtId="0" fontId="1" fillId="17" borderId="36" xfId="4" applyFont="1" applyFill="1" applyBorder="1" applyAlignment="1">
      <alignment vertical="center" wrapText="1"/>
    </xf>
    <xf numFmtId="0" fontId="18" fillId="19" borderId="35" xfId="4" applyFont="1" applyFill="1" applyBorder="1" applyAlignment="1">
      <alignment vertical="center" wrapText="1"/>
    </xf>
    <xf numFmtId="0" fontId="18" fillId="18" borderId="35" xfId="4" applyFont="1" applyFill="1" applyBorder="1" applyAlignment="1">
      <alignment vertical="center" wrapText="1"/>
    </xf>
    <xf numFmtId="0" fontId="3" fillId="0" borderId="0" xfId="4" applyFont="1" applyBorder="1" applyAlignment="1" applyProtection="1">
      <alignment horizontal="center" vertical="center" wrapText="1"/>
      <protection locked="0"/>
    </xf>
    <xf numFmtId="0" fontId="3" fillId="0" borderId="0" xfId="4" applyBorder="1" applyAlignment="1" applyProtection="1">
      <alignment wrapText="1"/>
      <protection locked="0"/>
    </xf>
    <xf numFmtId="0" fontId="3" fillId="0" borderId="86" xfId="4" applyFont="1" applyBorder="1" applyAlignment="1" applyProtection="1">
      <alignment horizontal="center" vertical="center" wrapText="1"/>
      <protection locked="0"/>
    </xf>
    <xf numFmtId="0" fontId="9" fillId="0" borderId="0" xfId="1"/>
    <xf numFmtId="0" fontId="3" fillId="0" borderId="12" xfId="4" applyFont="1" applyBorder="1" applyAlignment="1" applyProtection="1">
      <alignment horizontal="center" vertical="center" wrapText="1"/>
      <protection locked="0"/>
    </xf>
    <xf numFmtId="0" fontId="3" fillId="0" borderId="87" xfId="4" applyBorder="1" applyAlignment="1" applyProtection="1">
      <alignment wrapText="1"/>
      <protection locked="0"/>
    </xf>
    <xf numFmtId="0" fontId="9" fillId="0" borderId="0" xfId="1" quotePrefix="1"/>
    <xf numFmtId="0" fontId="12" fillId="0" borderId="9" xfId="4" applyFont="1" applyBorder="1" applyAlignment="1">
      <alignment horizontal="center" vertical="top" wrapText="1"/>
    </xf>
    <xf numFmtId="10" fontId="14" fillId="0" borderId="75" xfId="4" applyNumberFormat="1" applyFont="1" applyFill="1" applyBorder="1" applyAlignment="1">
      <alignment horizontal="center" vertical="top" wrapText="1"/>
    </xf>
    <xf numFmtId="10" fontId="14" fillId="0" borderId="76" xfId="4" applyNumberFormat="1" applyFont="1" applyFill="1" applyBorder="1" applyAlignment="1">
      <alignment horizontal="center" vertical="top" wrapText="1"/>
    </xf>
    <xf numFmtId="10" fontId="14" fillId="0" borderId="77" xfId="4" applyNumberFormat="1" applyFont="1" applyFill="1" applyBorder="1" applyAlignment="1">
      <alignment horizontal="center" vertical="top" wrapText="1"/>
    </xf>
    <xf numFmtId="0" fontId="13" fillId="0" borderId="8" xfId="4" applyFont="1" applyFill="1" applyBorder="1" applyAlignment="1">
      <alignment horizontal="center" vertical="top"/>
    </xf>
    <xf numFmtId="0" fontId="13" fillId="0" borderId="13" xfId="4" applyFont="1" applyFill="1" applyBorder="1" applyAlignment="1">
      <alignment horizontal="center" vertical="top"/>
    </xf>
    <xf numFmtId="0" fontId="6" fillId="4" borderId="14" xfId="4" applyFont="1" applyFill="1" applyBorder="1" applyAlignment="1">
      <alignment horizontal="center"/>
    </xf>
    <xf numFmtId="0" fontId="6" fillId="4" borderId="15" xfId="4" applyFont="1" applyFill="1" applyBorder="1" applyAlignment="1">
      <alignment horizontal="center"/>
    </xf>
    <xf numFmtId="0" fontId="6" fillId="4" borderId="16" xfId="4" applyFont="1" applyFill="1" applyBorder="1" applyAlignment="1">
      <alignment horizontal="center"/>
    </xf>
    <xf numFmtId="0" fontId="11" fillId="6" borderId="3" xfId="4" applyFont="1" applyFill="1" applyBorder="1" applyAlignment="1">
      <alignment horizontal="center" vertical="center"/>
    </xf>
    <xf numFmtId="0" fontId="12" fillId="6" borderId="26" xfId="4" applyFont="1" applyFill="1" applyBorder="1" applyAlignment="1">
      <alignment horizontal="center" vertical="center" wrapText="1"/>
    </xf>
    <xf numFmtId="0" fontId="12" fillId="6" borderId="78" xfId="4" applyFont="1" applyFill="1" applyBorder="1" applyAlignment="1">
      <alignment horizontal="center" vertical="center" wrapText="1"/>
    </xf>
    <xf numFmtId="0" fontId="12" fillId="6" borderId="79" xfId="4" applyFont="1" applyFill="1" applyBorder="1" applyAlignment="1">
      <alignment horizontal="center" vertical="center" wrapText="1"/>
    </xf>
    <xf numFmtId="0" fontId="12" fillId="6" borderId="80" xfId="4" applyFont="1" applyFill="1" applyBorder="1" applyAlignment="1">
      <alignment horizontal="center" vertical="center" wrapText="1"/>
    </xf>
    <xf numFmtId="0" fontId="12" fillId="6" borderId="45" xfId="4" applyFont="1" applyFill="1" applyBorder="1" applyAlignment="1">
      <alignment horizontal="center" vertical="center" wrapText="1"/>
    </xf>
    <xf numFmtId="0" fontId="12" fillId="6" borderId="81" xfId="4" applyFont="1" applyFill="1" applyBorder="1" applyAlignment="1">
      <alignment horizontal="center" vertical="center" wrapText="1"/>
    </xf>
    <xf numFmtId="0" fontId="12" fillId="6" borderId="3" xfId="4" applyFont="1" applyFill="1" applyBorder="1" applyAlignment="1">
      <alignment horizontal="center" vertical="center"/>
    </xf>
    <xf numFmtId="0" fontId="4" fillId="2" borderId="1" xfId="4" applyFont="1" applyFill="1" applyBorder="1" applyAlignment="1" applyProtection="1">
      <alignment horizontal="center"/>
    </xf>
    <xf numFmtId="0" fontId="4" fillId="2" borderId="2" xfId="4" applyFont="1" applyFill="1" applyBorder="1" applyAlignment="1" applyProtection="1">
      <alignment horizontal="center"/>
    </xf>
    <xf numFmtId="0" fontId="32" fillId="20" borderId="52" xfId="0" applyFont="1" applyFill="1" applyBorder="1" applyAlignment="1" applyProtection="1">
      <alignment horizontal="center"/>
    </xf>
    <xf numFmtId="0" fontId="32" fillId="20" borderId="53" xfId="0" applyFont="1" applyFill="1" applyBorder="1" applyAlignment="1" applyProtection="1">
      <alignment horizontal="center"/>
    </xf>
    <xf numFmtId="0" fontId="32" fillId="20" borderId="54" xfId="0" applyFont="1" applyFill="1" applyBorder="1" applyAlignment="1" applyProtection="1">
      <alignment horizontal="center"/>
    </xf>
    <xf numFmtId="0" fontId="33" fillId="20" borderId="55" xfId="0" applyFont="1" applyFill="1" applyBorder="1" applyAlignment="1">
      <alignment horizontal="center"/>
    </xf>
    <xf numFmtId="0" fontId="33" fillId="20" borderId="56" xfId="0" applyFont="1" applyFill="1" applyBorder="1" applyAlignment="1">
      <alignment horizontal="center"/>
    </xf>
    <xf numFmtId="0" fontId="33" fillId="20" borderId="53" xfId="0" applyFont="1" applyFill="1" applyBorder="1" applyAlignment="1">
      <alignment horizontal="center"/>
    </xf>
    <xf numFmtId="0" fontId="33" fillId="20" borderId="54" xfId="0" applyFont="1" applyFill="1" applyBorder="1" applyAlignment="1">
      <alignment horizontal="center"/>
    </xf>
    <xf numFmtId="0" fontId="22" fillId="14" borderId="50" xfId="0" applyFont="1" applyFill="1" applyBorder="1" applyAlignment="1" applyProtection="1">
      <alignment horizontal="center"/>
    </xf>
    <xf numFmtId="0" fontId="22" fillId="14" borderId="58" xfId="0" applyFont="1" applyFill="1" applyBorder="1" applyAlignment="1" applyProtection="1">
      <alignment horizontal="center"/>
    </xf>
    <xf numFmtId="0" fontId="22" fillId="21" borderId="59" xfId="0" applyFont="1" applyFill="1" applyBorder="1" applyAlignment="1" applyProtection="1">
      <alignment horizontal="left" wrapText="1"/>
    </xf>
    <xf numFmtId="0" fontId="22" fillId="21" borderId="60" xfId="0" applyFont="1" applyFill="1" applyBorder="1" applyAlignment="1" applyProtection="1">
      <alignment horizontal="left" wrapText="1"/>
    </xf>
    <xf numFmtId="14" fontId="22" fillId="14" borderId="49" xfId="0" applyNumberFormat="1" applyFont="1" applyFill="1" applyBorder="1" applyAlignment="1" applyProtection="1">
      <alignment horizontal="center" wrapText="1"/>
    </xf>
    <xf numFmtId="14" fontId="22" fillId="14" borderId="61" xfId="0" applyNumberFormat="1" applyFont="1" applyFill="1" applyBorder="1" applyAlignment="1" applyProtection="1">
      <alignment horizontal="center" wrapText="1"/>
    </xf>
    <xf numFmtId="0" fontId="33" fillId="20" borderId="71" xfId="0" applyFont="1" applyFill="1" applyBorder="1" applyAlignment="1">
      <alignment horizontal="center"/>
    </xf>
    <xf numFmtId="14" fontId="22" fillId="14" borderId="51" xfId="0" applyNumberFormat="1" applyFont="1" applyFill="1" applyBorder="1" applyAlignment="1" applyProtection="1">
      <alignment horizontal="center" wrapText="1"/>
    </xf>
    <xf numFmtId="0" fontId="22" fillId="14" borderId="63" xfId="0" applyFont="1" applyFill="1" applyBorder="1" applyAlignment="1" applyProtection="1">
      <alignment horizontal="center" wrapText="1"/>
    </xf>
    <xf numFmtId="0" fontId="22" fillId="21" borderId="64" xfId="0" applyFont="1" applyFill="1" applyBorder="1" applyAlignment="1" applyProtection="1">
      <alignment horizontal="left" wrapText="1"/>
    </xf>
    <xf numFmtId="0" fontId="22" fillId="21" borderId="25" xfId="0" applyFont="1" applyFill="1" applyBorder="1" applyAlignment="1" applyProtection="1">
      <alignment horizontal="left" wrapText="1"/>
    </xf>
    <xf numFmtId="14" fontId="22" fillId="14" borderId="50" xfId="0" applyNumberFormat="1" applyFont="1" applyFill="1" applyBorder="1" applyAlignment="1" applyProtection="1">
      <alignment horizontal="center" wrapText="1"/>
    </xf>
    <xf numFmtId="14" fontId="22" fillId="14" borderId="58" xfId="0" applyNumberFormat="1" applyFont="1" applyFill="1" applyBorder="1" applyAlignment="1" applyProtection="1">
      <alignment horizontal="center" wrapText="1"/>
    </xf>
    <xf numFmtId="0" fontId="22" fillId="21" borderId="67" xfId="0" applyFont="1" applyFill="1" applyBorder="1" applyAlignment="1" applyProtection="1">
      <alignment horizontal="left" wrapText="1"/>
    </xf>
    <xf numFmtId="0" fontId="22" fillId="21" borderId="68" xfId="0" applyFont="1" applyFill="1" applyBorder="1" applyAlignment="1" applyProtection="1">
      <alignment horizontal="left" wrapText="1"/>
    </xf>
    <xf numFmtId="14" fontId="22" fillId="14" borderId="69" xfId="0" applyNumberFormat="1" applyFont="1" applyFill="1" applyBorder="1" applyAlignment="1" applyProtection="1">
      <alignment horizontal="center" wrapText="1"/>
    </xf>
    <xf numFmtId="14" fontId="22" fillId="14" borderId="70" xfId="0" applyNumberFormat="1" applyFont="1" applyFill="1" applyBorder="1" applyAlignment="1" applyProtection="1">
      <alignment horizontal="center" wrapText="1"/>
    </xf>
    <xf numFmtId="0" fontId="34" fillId="21" borderId="65" xfId="0" applyFont="1" applyFill="1" applyBorder="1" applyAlignment="1" applyProtection="1">
      <alignment horizontal="center" vertical="center" wrapText="1"/>
    </xf>
    <xf numFmtId="0" fontId="34" fillId="21" borderId="40" xfId="0" applyFont="1" applyFill="1" applyBorder="1" applyAlignment="1" applyProtection="1">
      <alignment horizontal="center" vertical="center" wrapText="1"/>
    </xf>
    <xf numFmtId="0" fontId="34" fillId="21" borderId="66" xfId="0" applyFont="1" applyFill="1" applyBorder="1" applyAlignment="1" applyProtection="1">
      <alignment horizontal="center" vertical="center" wrapText="1"/>
    </xf>
    <xf numFmtId="0" fontId="34" fillId="21" borderId="72" xfId="0" applyFont="1" applyFill="1" applyBorder="1" applyAlignment="1" applyProtection="1">
      <alignment horizontal="center" vertical="center" wrapText="1"/>
    </xf>
    <xf numFmtId="0" fontId="34" fillId="21" borderId="73" xfId="0" applyFont="1" applyFill="1" applyBorder="1" applyAlignment="1" applyProtection="1">
      <alignment horizontal="center" vertical="center" wrapText="1"/>
    </xf>
    <xf numFmtId="0" fontId="34" fillId="21" borderId="74" xfId="0" applyFont="1" applyFill="1" applyBorder="1" applyAlignment="1" applyProtection="1">
      <alignment horizontal="center" vertical="center" wrapText="1"/>
    </xf>
    <xf numFmtId="0" fontId="7" fillId="5" borderId="42" xfId="4" applyFont="1" applyFill="1" applyBorder="1" applyAlignment="1">
      <alignment horizontal="center" vertical="center"/>
    </xf>
    <xf numFmtId="0" fontId="7" fillId="5" borderId="45" xfId="4" applyFont="1" applyFill="1" applyBorder="1" applyAlignment="1">
      <alignment horizontal="center" vertical="center"/>
    </xf>
    <xf numFmtId="0" fontId="7" fillId="5" borderId="43" xfId="4" applyFont="1" applyFill="1" applyBorder="1" applyAlignment="1">
      <alignment horizontal="center" vertical="center"/>
    </xf>
    <xf numFmtId="0" fontId="25" fillId="0" borderId="21" xfId="4" applyFont="1" applyBorder="1" applyAlignment="1" applyProtection="1">
      <alignment horizontal="center" vertical="center" wrapText="1"/>
    </xf>
    <xf numFmtId="0" fontId="25" fillId="0" borderId="29" xfId="4" applyFont="1" applyBorder="1" applyAlignment="1" applyProtection="1">
      <alignment horizontal="center" vertical="center" wrapText="1"/>
    </xf>
    <xf numFmtId="0" fontId="17" fillId="16" borderId="23" xfId="4" applyFont="1" applyFill="1" applyBorder="1" applyAlignment="1" applyProtection="1">
      <alignment horizontal="center" vertical="center" wrapText="1"/>
    </xf>
    <xf numFmtId="0" fontId="17" fillId="16" borderId="24" xfId="4" applyFont="1" applyFill="1" applyBorder="1" applyAlignment="1" applyProtection="1">
      <alignment horizontal="center" vertical="center" wrapText="1"/>
    </xf>
    <xf numFmtId="0" fontId="26" fillId="0" borderId="22" xfId="4" applyFont="1" applyBorder="1" applyAlignment="1" applyProtection="1">
      <alignment horizontal="left" vertical="center" wrapText="1"/>
    </xf>
    <xf numFmtId="0" fontId="16" fillId="0" borderId="23" xfId="4" applyFont="1" applyBorder="1" applyAlignment="1" applyProtection="1">
      <alignment horizontal="left" vertical="center" wrapText="1"/>
    </xf>
    <xf numFmtId="0" fontId="16" fillId="0" borderId="24" xfId="4" applyFont="1" applyBorder="1" applyAlignment="1" applyProtection="1">
      <alignment horizontal="left" vertical="center" wrapText="1"/>
    </xf>
    <xf numFmtId="0" fontId="26" fillId="16" borderId="23" xfId="4" applyFont="1" applyFill="1" applyBorder="1" applyAlignment="1" applyProtection="1">
      <alignment horizontal="center" vertical="center" wrapText="1"/>
    </xf>
    <xf numFmtId="0" fontId="16" fillId="16" borderId="23" xfId="4" applyFont="1" applyFill="1" applyBorder="1" applyAlignment="1" applyProtection="1">
      <alignment horizontal="center" vertical="center" wrapText="1"/>
    </xf>
    <xf numFmtId="0" fontId="16" fillId="16" borderId="24" xfId="4" applyFont="1" applyFill="1" applyBorder="1" applyAlignment="1" applyProtection="1">
      <alignment horizontal="center" vertical="center" wrapText="1"/>
    </xf>
    <xf numFmtId="0" fontId="27" fillId="0" borderId="23" xfId="4" applyFont="1" applyBorder="1" applyAlignment="1" applyProtection="1">
      <alignment horizontal="left" vertical="center" wrapText="1"/>
    </xf>
    <xf numFmtId="0" fontId="27" fillId="0" borderId="24" xfId="4" applyFont="1" applyBorder="1" applyAlignment="1" applyProtection="1">
      <alignment horizontal="left" vertical="center" wrapText="1"/>
    </xf>
    <xf numFmtId="0" fontId="15" fillId="11" borderId="23" xfId="4" applyFont="1" applyFill="1" applyBorder="1" applyAlignment="1" applyProtection="1">
      <alignment horizontal="center" vertical="center" wrapText="1"/>
    </xf>
    <xf numFmtId="0" fontId="15" fillId="11" borderId="24" xfId="4" applyFont="1" applyFill="1" applyBorder="1" applyAlignment="1" applyProtection="1">
      <alignment horizontal="center" vertical="center" wrapText="1"/>
    </xf>
    <xf numFmtId="0" fontId="9" fillId="0" borderId="88" xfId="1" applyBorder="1"/>
    <xf numFmtId="0" fontId="9" fillId="0" borderId="89" xfId="1" applyBorder="1"/>
    <xf numFmtId="0" fontId="13" fillId="3" borderId="89" xfId="4" applyFont="1" applyFill="1" applyBorder="1" applyAlignment="1">
      <alignment horizontal="center" vertical="top"/>
    </xf>
    <xf numFmtId="0" fontId="12" fillId="5" borderId="27" xfId="4" applyFont="1" applyFill="1" applyBorder="1" applyAlignment="1">
      <alignment horizontal="center" vertical="center" wrapText="1"/>
    </xf>
    <xf numFmtId="0" fontId="9" fillId="0" borderId="90" xfId="1" applyBorder="1"/>
  </cellXfs>
  <cellStyles count="9">
    <cellStyle name="Excel Built-in Normal" xfId="4"/>
    <cellStyle name="Hyperlink 2" xfId="6"/>
    <cellStyle name="Normal 2" xfId="2"/>
    <cellStyle name="Normal 2 2" xfId="7"/>
    <cellStyle name="Normal 3" xfId="3"/>
    <cellStyle name="Normal 3 2" xfId="8"/>
    <cellStyle name="Normal 4" xfId="5"/>
    <cellStyle name="常规" xfId="0" builtinId="0"/>
    <cellStyle name="超链接" xfId="1" builtinId="8"/>
  </cellStyles>
  <dxfs count="29"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7BA0CD"/>
      <rgbColor rgb="008EB4E3"/>
      <rgbColor rgb="00993366"/>
      <rgbColor rgb="00B9CDE5"/>
      <rgbColor rgb="00DBE5F1"/>
      <rgbColor rgb="00660066"/>
      <rgbColor rgb="00FF8080"/>
      <rgbColor rgb="000066CC"/>
      <rgbColor rgb="00C6D9F1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D3DFEE"/>
      <rgbColor rgb="00D9D9D9"/>
      <rgbColor rgb="00FFFF99"/>
      <rgbColor rgb="00B8CCE4"/>
      <rgbColor rgb="00FF99CC"/>
      <rgbColor rgb="00A6A6A6"/>
      <rgbColor rgb="00C1C1C1"/>
      <rgbColor rgb="003366FF"/>
      <rgbColor rgb="0095B3D7"/>
      <rgbColor rgb="0099CC00"/>
      <rgbColor rgb="00FFC000"/>
      <rgbColor rgb="00FF9900"/>
      <rgbColor rgb="00FF6600"/>
      <rgbColor rgb="00376092"/>
      <rgbColor rgb="00969696"/>
      <rgbColor rgb="00002060"/>
      <rgbColor rgb="0000B050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YED6/AppData/Local/Microsoft/Windows/Temporary%20Internet%20Files/Content.IE5/GJ7EDMWA/nva/Desktop/MA%20-%20JIRA%20Tools/FordSync_CM_HardwareLis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Hardware Glossary"/>
      <sheetName val="Hardware Total"/>
      <sheetName val="Hardware Report"/>
      <sheetName val="Phones (Erlangen)"/>
      <sheetName val="Orders"/>
      <sheetName val="Lookups"/>
      <sheetName val="Not Fou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40"/>
  <sheetViews>
    <sheetView tabSelected="1" topLeftCell="A19" zoomScale="90" zoomScaleNormal="90" workbookViewId="0">
      <selection activeCell="D47" sqref="D47"/>
    </sheetView>
  </sheetViews>
  <sheetFormatPr defaultColWidth="8.7109375" defaultRowHeight="15" x14ac:dyDescent="0.25"/>
  <cols>
    <col min="1" max="1" width="2.5703125" style="1" customWidth="1"/>
    <col min="2" max="2" width="12.5703125" style="1" customWidth="1"/>
    <col min="3" max="3" width="52.28515625" style="1" customWidth="1"/>
    <col min="4" max="4" width="33.28515625" style="1" customWidth="1"/>
    <col min="5" max="5" width="9.140625" style="1" customWidth="1"/>
    <col min="6" max="6" width="11.7109375" style="1" customWidth="1"/>
    <col min="7" max="7" width="16.5703125" style="1" customWidth="1"/>
    <col min="8" max="8" width="14.7109375" style="1" customWidth="1"/>
    <col min="9" max="9" width="10.7109375" style="1" customWidth="1"/>
    <col min="10" max="10" width="11.7109375" style="1" customWidth="1"/>
    <col min="11" max="11" width="10.7109375" style="1" customWidth="1"/>
    <col min="12" max="16384" width="8.7109375" style="1"/>
  </cols>
  <sheetData>
    <row r="2" spans="3:11" ht="26.25" x14ac:dyDescent="0.4">
      <c r="C2" s="90" t="s">
        <v>33</v>
      </c>
      <c r="D2" s="90"/>
      <c r="E2" s="90"/>
    </row>
    <row r="3" spans="3:11" ht="26.25" x14ac:dyDescent="0.4">
      <c r="C3" s="91" t="s">
        <v>34</v>
      </c>
      <c r="D3" s="91"/>
      <c r="E3" s="91"/>
    </row>
    <row r="4" spans="3:11" ht="16.5" thickTop="1" thickBot="1" x14ac:dyDescent="0.3"/>
    <row r="5" spans="3:11" ht="20.25" thickTop="1" thickBot="1" x14ac:dyDescent="0.3">
      <c r="C5" s="92" t="s">
        <v>35</v>
      </c>
      <c r="D5" s="93"/>
      <c r="E5" s="94"/>
      <c r="F5"/>
      <c r="G5" s="95" t="s">
        <v>37</v>
      </c>
      <c r="H5" s="96"/>
      <c r="I5" s="97"/>
      <c r="J5" s="97"/>
      <c r="K5" s="98"/>
    </row>
    <row r="6" spans="3:11" ht="15.75" customHeight="1" x14ac:dyDescent="0.25">
      <c r="C6" s="48" t="s">
        <v>39</v>
      </c>
      <c r="D6" s="99" t="s">
        <v>43</v>
      </c>
      <c r="E6" s="100"/>
      <c r="F6"/>
      <c r="G6" s="101" t="s">
        <v>0</v>
      </c>
      <c r="H6" s="102"/>
      <c r="I6" s="103"/>
      <c r="J6" s="103"/>
      <c r="K6" s="104"/>
    </row>
    <row r="7" spans="3:11" ht="16.149999999999999" customHeight="1" thickBot="1" x14ac:dyDescent="0.3">
      <c r="C7" s="49" t="s">
        <v>40</v>
      </c>
      <c r="D7" s="106"/>
      <c r="E7" s="107"/>
      <c r="F7"/>
      <c r="G7" s="108" t="s">
        <v>1</v>
      </c>
      <c r="H7" s="109"/>
      <c r="I7" s="110"/>
      <c r="J7" s="110"/>
      <c r="K7" s="111"/>
    </row>
    <row r="8" spans="3:11" ht="19.5" customHeight="1" thickBot="1" x14ac:dyDescent="0.3">
      <c r="F8"/>
      <c r="G8" s="112" t="s">
        <v>38</v>
      </c>
      <c r="H8" s="113"/>
      <c r="I8" s="114"/>
      <c r="J8" s="114"/>
      <c r="K8" s="115"/>
    </row>
    <row r="9" spans="3:11" ht="16.5" thickTop="1" thickBot="1" x14ac:dyDescent="0.3">
      <c r="F9"/>
      <c r="G9"/>
      <c r="H9"/>
      <c r="I9"/>
      <c r="J9"/>
      <c r="K9"/>
    </row>
    <row r="10" spans="3:11" ht="20.25" thickTop="1" thickBot="1" x14ac:dyDescent="0.3">
      <c r="F10"/>
      <c r="G10" s="95" t="s">
        <v>36</v>
      </c>
      <c r="H10" s="96"/>
      <c r="I10" s="96"/>
      <c r="J10" s="96"/>
      <c r="K10" s="105"/>
    </row>
    <row r="11" spans="3:11" ht="15.6" customHeight="1" x14ac:dyDescent="0.25">
      <c r="F11"/>
      <c r="G11" s="116"/>
      <c r="H11" s="117"/>
      <c r="I11" s="117"/>
      <c r="J11" s="117"/>
      <c r="K11" s="118"/>
    </row>
    <row r="12" spans="3:11" ht="16.149999999999999" customHeight="1" thickBot="1" x14ac:dyDescent="0.3">
      <c r="F12"/>
      <c r="G12" s="119"/>
      <c r="H12" s="120"/>
      <c r="I12" s="120"/>
      <c r="J12" s="120"/>
      <c r="K12" s="121"/>
    </row>
    <row r="13" spans="3:11" ht="16.149999999999999" customHeight="1" thickTop="1" x14ac:dyDescent="0.25">
      <c r="F13"/>
      <c r="G13"/>
      <c r="H13"/>
      <c r="I13"/>
      <c r="J13"/>
      <c r="K13"/>
    </row>
    <row r="14" spans="3:11" ht="16.149999999999999" customHeight="1" x14ac:dyDescent="0.25">
      <c r="F14"/>
      <c r="G14"/>
      <c r="H14"/>
      <c r="I14"/>
      <c r="J14"/>
      <c r="K14"/>
    </row>
    <row r="16" spans="3:11" ht="15.75" thickBot="1" x14ac:dyDescent="0.3"/>
    <row r="17" spans="2:11" ht="21" thickBot="1" x14ac:dyDescent="0.35">
      <c r="B17" s="79" t="s">
        <v>2</v>
      </c>
      <c r="C17" s="80"/>
      <c r="D17" s="80"/>
      <c r="E17" s="80"/>
      <c r="F17" s="80"/>
      <c r="G17" s="80"/>
      <c r="H17" s="80"/>
      <c r="I17" s="80"/>
      <c r="J17" s="80"/>
      <c r="K17" s="81"/>
    </row>
    <row r="18" spans="2:11" ht="36" x14ac:dyDescent="0.25">
      <c r="B18" s="2" t="s">
        <v>3</v>
      </c>
      <c r="C18" s="47" t="s">
        <v>4</v>
      </c>
      <c r="D18" s="43" t="s">
        <v>5</v>
      </c>
      <c r="E18" s="3" t="s">
        <v>6</v>
      </c>
      <c r="F18" s="3" t="s">
        <v>7</v>
      </c>
      <c r="G18" s="3" t="s">
        <v>8</v>
      </c>
      <c r="H18" s="3" t="s">
        <v>9</v>
      </c>
      <c r="I18" s="3" t="s">
        <v>10</v>
      </c>
      <c r="J18" s="3" t="s">
        <v>11</v>
      </c>
      <c r="K18" s="4" t="s">
        <v>12</v>
      </c>
    </row>
    <row r="19" spans="2:11" x14ac:dyDescent="0.25">
      <c r="B19" s="55">
        <v>1</v>
      </c>
      <c r="C19" s="69" t="s">
        <v>49</v>
      </c>
      <c r="D19" s="44">
        <v>43199</v>
      </c>
      <c r="E19" s="52">
        <f>SUM(I34:J39)</f>
        <v>20</v>
      </c>
      <c r="F19" s="52">
        <f>SUM(G34:G39)</f>
        <v>0</v>
      </c>
      <c r="G19" s="52">
        <f>SUM(E34:E39)</f>
        <v>20</v>
      </c>
      <c r="H19" s="52">
        <f>SUM(F34:F39)</f>
        <v>0</v>
      </c>
      <c r="I19" s="52">
        <f>SUM(H34:H39)</f>
        <v>0</v>
      </c>
      <c r="J19" s="37">
        <f t="shared" ref="J19:J20" si="0">G19/(E19-I19)</f>
        <v>1</v>
      </c>
      <c r="K19" s="38"/>
    </row>
    <row r="20" spans="2:11" ht="16.5" x14ac:dyDescent="0.35">
      <c r="B20" s="55">
        <v>2</v>
      </c>
      <c r="C20" s="72"/>
      <c r="D20" s="44"/>
      <c r="E20" s="52"/>
      <c r="F20" s="52"/>
      <c r="G20" s="52"/>
      <c r="H20" s="52"/>
      <c r="I20" s="52"/>
      <c r="J20" s="37"/>
      <c r="K20" s="39"/>
    </row>
    <row r="21" spans="2:11" x14ac:dyDescent="0.25">
      <c r="B21" s="41">
        <v>3</v>
      </c>
      <c r="C21" s="42"/>
      <c r="D21" s="45"/>
      <c r="E21" s="53"/>
      <c r="F21" s="53"/>
      <c r="G21" s="53"/>
      <c r="H21" s="53"/>
      <c r="I21" s="53"/>
      <c r="J21" s="5"/>
      <c r="K21" s="40"/>
    </row>
    <row r="22" spans="2:11" ht="16.5" x14ac:dyDescent="0.35">
      <c r="B22" s="41">
        <v>4</v>
      </c>
      <c r="C22" s="42"/>
      <c r="D22" s="45"/>
      <c r="E22" s="53"/>
      <c r="F22" s="53"/>
      <c r="G22" s="53"/>
      <c r="H22" s="53"/>
      <c r="I22" s="53"/>
      <c r="J22" s="5"/>
      <c r="K22" s="6"/>
    </row>
    <row r="23" spans="2:11" ht="16.5" x14ac:dyDescent="0.35">
      <c r="B23" s="41">
        <v>5</v>
      </c>
      <c r="C23" s="42"/>
      <c r="D23" s="45"/>
      <c r="E23" s="53"/>
      <c r="F23" s="53"/>
      <c r="G23" s="53"/>
      <c r="H23" s="53"/>
      <c r="I23" s="53"/>
      <c r="J23" s="5"/>
      <c r="K23" s="6"/>
    </row>
    <row r="24" spans="2:11" ht="16.5" x14ac:dyDescent="0.35">
      <c r="B24" s="41">
        <v>6</v>
      </c>
      <c r="C24" s="42"/>
      <c r="D24" s="45"/>
      <c r="E24" s="53"/>
      <c r="F24" s="53"/>
      <c r="G24" s="53"/>
      <c r="H24" s="53"/>
      <c r="I24" s="53"/>
      <c r="J24" s="5"/>
      <c r="K24" s="6"/>
    </row>
    <row r="25" spans="2:11" ht="16.5" x14ac:dyDescent="0.35">
      <c r="B25" s="57">
        <v>7</v>
      </c>
      <c r="C25" s="59"/>
      <c r="D25" s="45"/>
      <c r="E25" s="53"/>
      <c r="F25" s="53"/>
      <c r="G25" s="53"/>
      <c r="H25" s="53"/>
      <c r="I25" s="53"/>
      <c r="J25" s="5"/>
      <c r="K25" s="58"/>
    </row>
    <row r="26" spans="2:11" ht="15.75" thickBot="1" x14ac:dyDescent="0.3">
      <c r="B26" s="122" t="s">
        <v>13</v>
      </c>
      <c r="C26" s="123"/>
      <c r="D26" s="124"/>
      <c r="E26" s="7">
        <f>SUM(E19:E24)</f>
        <v>20</v>
      </c>
      <c r="F26" s="7">
        <f>SUM(F19:F24)</f>
        <v>0</v>
      </c>
      <c r="G26" s="7">
        <f>SUM(G19:G24)</f>
        <v>20</v>
      </c>
      <c r="H26" s="7">
        <f>SUM(H19:H24)</f>
        <v>0</v>
      </c>
      <c r="I26" s="7">
        <f>SUM(I19:I24)</f>
        <v>0</v>
      </c>
      <c r="J26" s="8">
        <f>G26/(E26-I26)</f>
        <v>1</v>
      </c>
      <c r="K26" s="9"/>
    </row>
    <row r="30" spans="2:11" ht="21" thickBot="1" x14ac:dyDescent="0.35">
      <c r="B30" s="79" t="s">
        <v>14</v>
      </c>
      <c r="C30" s="80"/>
      <c r="D30" s="80"/>
      <c r="E30" s="80"/>
      <c r="F30" s="80"/>
      <c r="G30" s="80"/>
      <c r="H30" s="80"/>
      <c r="I30" s="80"/>
      <c r="J30" s="81"/>
    </row>
    <row r="31" spans="2:11" ht="14.45" customHeight="1" thickBot="1" x14ac:dyDescent="0.3">
      <c r="B31" s="82" t="s">
        <v>42</v>
      </c>
      <c r="C31" s="82"/>
      <c r="D31" s="82"/>
      <c r="E31" s="83" t="s">
        <v>15</v>
      </c>
      <c r="F31" s="84"/>
      <c r="G31" s="84"/>
      <c r="H31" s="84"/>
      <c r="I31" s="84"/>
      <c r="J31" s="85"/>
    </row>
    <row r="32" spans="2:11" ht="15.75" thickBot="1" x14ac:dyDescent="0.3">
      <c r="B32" s="82"/>
      <c r="C32" s="82"/>
      <c r="D32" s="82"/>
      <c r="E32" s="86"/>
      <c r="F32" s="87"/>
      <c r="G32" s="87"/>
      <c r="H32" s="87"/>
      <c r="I32" s="87"/>
      <c r="J32" s="88"/>
    </row>
    <row r="33" spans="2:10" s="10" customFormat="1" ht="34.9" customHeight="1" thickBot="1" x14ac:dyDescent="0.25">
      <c r="B33" s="142" t="s">
        <v>16</v>
      </c>
      <c r="C33" s="142"/>
      <c r="D33" s="142"/>
      <c r="E33" s="11" t="s">
        <v>17</v>
      </c>
      <c r="F33" s="12" t="s">
        <v>18</v>
      </c>
      <c r="G33" s="13" t="s">
        <v>19</v>
      </c>
      <c r="H33" s="13" t="s">
        <v>20</v>
      </c>
      <c r="I33" s="89" t="s">
        <v>21</v>
      </c>
      <c r="J33" s="89"/>
    </row>
    <row r="34" spans="2:10" s="14" customFormat="1" x14ac:dyDescent="0.25">
      <c r="B34" s="143" t="s">
        <v>44</v>
      </c>
      <c r="C34" s="139"/>
      <c r="D34" s="140"/>
      <c r="E34" s="141">
        <f>COUNTIF(onChildAppSelected!$D$4:$D$8, "Pass")</f>
        <v>3</v>
      </c>
      <c r="F34" s="15">
        <f>COUNTIF(onChildAppSelected!$D$4:$D$8, "Fail")</f>
        <v>0</v>
      </c>
      <c r="G34" s="15">
        <f>COUNTIF(onChildAppSelected!$D$4:$D$8, "Not Executed")</f>
        <v>0</v>
      </c>
      <c r="H34" s="15">
        <f>COUNTIF(onChildAppSelected!$D$4:$D$8, "Not Applicable")</f>
        <v>0</v>
      </c>
      <c r="I34" s="78">
        <f t="shared" ref="I34:I35" si="1">SUM(E34:H34)</f>
        <v>3</v>
      </c>
      <c r="J34" s="78"/>
    </row>
    <row r="35" spans="2:10" s="14" customFormat="1" x14ac:dyDescent="0.25">
      <c r="B35" s="143" t="s">
        <v>45</v>
      </c>
      <c r="C35" s="139"/>
      <c r="D35" s="140"/>
      <c r="E35" s="141">
        <f>COUNTIF(onChildAppSelected!$D$10:$D$14, "Pass")</f>
        <v>3</v>
      </c>
      <c r="F35" s="15">
        <f>COUNTIF(onChildAppSelected!$D$10:$D$14, "Fail")</f>
        <v>0</v>
      </c>
      <c r="G35" s="15">
        <f>COUNTIF(onChildAppSelected!$D$10:$D$14, "Not Executed")</f>
        <v>0</v>
      </c>
      <c r="H35" s="15">
        <f>COUNTIF(onChildAppSelected!$D$10:$D$14, "Not Applicable")</f>
        <v>0</v>
      </c>
      <c r="I35" s="77">
        <f t="shared" si="1"/>
        <v>3</v>
      </c>
      <c r="J35" s="77"/>
    </row>
    <row r="36" spans="2:10" s="14" customFormat="1" x14ac:dyDescent="0.25">
      <c r="B36" s="143" t="s">
        <v>46</v>
      </c>
      <c r="C36" s="139"/>
      <c r="D36" s="140"/>
      <c r="E36" s="141">
        <f>COUNTIF(onChildAppSelected!$D$16:$D$19, "Pass")</f>
        <v>2</v>
      </c>
      <c r="F36" s="15">
        <f>COUNTIF(onChildAppSelected!$D$16:$D$19, "Fail")</f>
        <v>0</v>
      </c>
      <c r="G36" s="15">
        <f>COUNTIF(onChildAppSelected!$D$16:$D$19, "Not Executed")</f>
        <v>0</v>
      </c>
      <c r="H36" s="15">
        <f>COUNTIF(onChildAppSelected!$D$16:$D$19, "Not Applicable")</f>
        <v>0</v>
      </c>
      <c r="I36" s="77">
        <f t="shared" ref="I36:I38" si="2">SUM(E36:H36)</f>
        <v>2</v>
      </c>
      <c r="J36" s="77"/>
    </row>
    <row r="37" spans="2:10" s="14" customFormat="1" x14ac:dyDescent="0.25">
      <c r="B37" s="143" t="s">
        <v>47</v>
      </c>
      <c r="C37" s="139"/>
      <c r="D37" s="140"/>
      <c r="E37" s="141">
        <f>COUNTIF(onChildAppSelected!$D$21:$D$26, "Pass")</f>
        <v>4</v>
      </c>
      <c r="F37" s="15">
        <f>COUNTIF(onChildAppSelected!$D$21:$D$26, "Fail")</f>
        <v>0</v>
      </c>
      <c r="G37" s="15">
        <f>COUNTIF(onChildAppSelected!$D$21:$D$26, "Not Executed")</f>
        <v>0</v>
      </c>
      <c r="H37" s="15">
        <f>COUNTIF(onChildAppSelected!$D$21:$D$26, "Not Applicable")</f>
        <v>0</v>
      </c>
      <c r="I37" s="77">
        <f t="shared" si="2"/>
        <v>4</v>
      </c>
      <c r="J37" s="77"/>
    </row>
    <row r="38" spans="2:10" s="14" customFormat="1" x14ac:dyDescent="0.25">
      <c r="B38" s="143" t="s">
        <v>48</v>
      </c>
      <c r="C38" s="139"/>
      <c r="D38" s="140"/>
      <c r="E38" s="141">
        <f>COUNTIF(onChildAppSelected!$D$28:$D$37, "Pass")</f>
        <v>8</v>
      </c>
      <c r="F38" s="15">
        <f>COUNTIF(onChildAppSelected!$D$28:$D$37, "Fail")</f>
        <v>0</v>
      </c>
      <c r="G38" s="15">
        <f>COUNTIF(onChildAppSelected!$D$28:$D$37, "Not Executed")</f>
        <v>0</v>
      </c>
      <c r="H38" s="15">
        <f>COUNTIF(onChildAppSelected!$D$28:$D$37, "Not Applicable")</f>
        <v>0</v>
      </c>
      <c r="I38" s="77">
        <f t="shared" si="2"/>
        <v>8</v>
      </c>
      <c r="J38" s="77"/>
    </row>
    <row r="39" spans="2:10" s="14" customFormat="1" x14ac:dyDescent="0.25">
      <c r="B39" s="143"/>
      <c r="C39" s="139"/>
      <c r="D39" s="140"/>
      <c r="E39" s="15"/>
      <c r="F39" s="15"/>
      <c r="G39" s="15"/>
      <c r="H39" s="15"/>
      <c r="I39" s="77"/>
      <c r="J39" s="77"/>
    </row>
    <row r="40" spans="2:10" ht="15.75" customHeight="1" thickBot="1" x14ac:dyDescent="0.3">
      <c r="B40" s="73" t="s">
        <v>41</v>
      </c>
      <c r="C40" s="73"/>
      <c r="D40" s="73"/>
      <c r="E40" s="74">
        <f>IF(SUM(I34:J39)=0,0,SUM(E34:E39)/(SUM(I34:J39)-SUM(H34:H39)))</f>
        <v>1</v>
      </c>
      <c r="F40" s="75"/>
      <c r="G40" s="75"/>
      <c r="H40" s="75"/>
      <c r="I40" s="75"/>
      <c r="J40" s="76"/>
    </row>
  </sheetData>
  <sheetProtection selectLockedCells="1" selectUnlockedCells="1"/>
  <mergeCells count="35">
    <mergeCell ref="B39:D39"/>
    <mergeCell ref="I39:J39"/>
    <mergeCell ref="B40:D40"/>
    <mergeCell ref="E40:J40"/>
    <mergeCell ref="B38:D38"/>
    <mergeCell ref="I38:J38"/>
    <mergeCell ref="G11:K12"/>
    <mergeCell ref="B36:D36"/>
    <mergeCell ref="I36:J36"/>
    <mergeCell ref="B37:D37"/>
    <mergeCell ref="I37:J37"/>
    <mergeCell ref="B17:K17"/>
    <mergeCell ref="B26:D26"/>
    <mergeCell ref="B30:J30"/>
    <mergeCell ref="B31:D32"/>
    <mergeCell ref="E31:J32"/>
    <mergeCell ref="B33:D33"/>
    <mergeCell ref="I33:J33"/>
    <mergeCell ref="B34:D34"/>
    <mergeCell ref="I34:J34"/>
    <mergeCell ref="B35:D35"/>
    <mergeCell ref="I35:J35"/>
    <mergeCell ref="G10:K10"/>
    <mergeCell ref="D7:E7"/>
    <mergeCell ref="G7:H7"/>
    <mergeCell ref="I7:K7"/>
    <mergeCell ref="G8:H8"/>
    <mergeCell ref="I8:K8"/>
    <mergeCell ref="C2:E2"/>
    <mergeCell ref="C3:E3"/>
    <mergeCell ref="C5:E5"/>
    <mergeCell ref="G5:K5"/>
    <mergeCell ref="D6:E6"/>
    <mergeCell ref="G6:H6"/>
    <mergeCell ref="I6:K6"/>
  </mergeCells>
  <phoneticPr fontId="35" type="noConversion"/>
  <hyperlinks>
    <hyperlink ref="B34" location="'4!1 PHONE NOT PAIRED'.A3" display="4.1.1 Phone not paired and app running"/>
    <hyperlink ref="B35" location="'4!1 PHONE NOT PAIRED'.A12" display="4.1.2 Phone not paired and app not running, Phone OFF"/>
    <hyperlink ref="C19" location="onChildAppSelected!A1" display="2.1 onChildAppSelected"/>
    <hyperlink ref="B34:D34" location="onChildAppSelected!A4" display="2.1.1 onChildAppSelected_NegativeOne"/>
    <hyperlink ref="B35:D35" location="onChildAppSelected!A10" display="2.1.2 onChildAppSelected_NegativeTwo"/>
    <hyperlink ref="B36:D36" location="onChildAppSelected!A16" display="2.1.3 onChildAppSelected_Hundred"/>
    <hyperlink ref="B37:D37" location="onChildAppSelected!A21" display="2.1.4 onChildAppSelected_sendNotification"/>
    <hyperlink ref="B38:D38" location="onChildAppSelected!A28" display="2.1.5 onChildAppSelected_onAppShow"/>
  </hyperlink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38"/>
  <sheetViews>
    <sheetView zoomScale="90" zoomScaleNormal="90" workbookViewId="0">
      <pane ySplit="1" topLeftCell="A43" activePane="bottomLeft" state="frozen"/>
      <selection pane="bottomLeft"/>
    </sheetView>
  </sheetViews>
  <sheetFormatPr defaultRowHeight="15" x14ac:dyDescent="0.25"/>
  <cols>
    <col min="1" max="1" width="9.7109375" style="18" customWidth="1"/>
    <col min="2" max="2" width="100.85546875" style="17" customWidth="1"/>
    <col min="3" max="3" width="68.85546875" style="17" customWidth="1"/>
    <col min="4" max="4" width="17.7109375" style="16" customWidth="1"/>
    <col min="5" max="5" width="54.7109375" style="17" customWidth="1"/>
    <col min="6" max="16384" width="9.140625" style="17"/>
  </cols>
  <sheetData>
    <row r="1" spans="1:6" ht="16.5" thickBot="1" x14ac:dyDescent="0.3">
      <c r="A1" s="22" t="s">
        <v>22</v>
      </c>
      <c r="B1" s="23" t="s">
        <v>28</v>
      </c>
      <c r="C1" s="23" t="s">
        <v>29</v>
      </c>
      <c r="D1" s="23" t="s">
        <v>30</v>
      </c>
      <c r="E1" s="23" t="s">
        <v>12</v>
      </c>
      <c r="F1" s="24"/>
    </row>
    <row r="2" spans="1:6" ht="15.75" thickBot="1" x14ac:dyDescent="0.3">
      <c r="A2" s="25">
        <v>1.1000000000000001</v>
      </c>
      <c r="B2" s="137" t="s">
        <v>51</v>
      </c>
      <c r="C2" s="137"/>
      <c r="D2" s="137"/>
      <c r="E2" s="138"/>
      <c r="F2" s="24"/>
    </row>
    <row r="3" spans="1:6" ht="15.75" thickBot="1" x14ac:dyDescent="0.3">
      <c r="A3" s="26"/>
      <c r="B3" s="26"/>
      <c r="C3" s="26"/>
      <c r="D3" s="26"/>
      <c r="E3" s="26"/>
      <c r="F3" s="24"/>
    </row>
    <row r="4" spans="1:6" ht="15.75" thickBot="1" x14ac:dyDescent="0.3">
      <c r="A4" s="125" t="s">
        <v>50</v>
      </c>
      <c r="B4" s="127" t="s">
        <v>64</v>
      </c>
      <c r="C4" s="127"/>
      <c r="D4" s="127"/>
      <c r="E4" s="128"/>
      <c r="F4" s="24"/>
    </row>
    <row r="5" spans="1:6" ht="52.5" customHeight="1" thickBot="1" x14ac:dyDescent="0.3">
      <c r="A5" s="126"/>
      <c r="B5" s="129" t="s">
        <v>57</v>
      </c>
      <c r="C5" s="130"/>
      <c r="D5" s="130"/>
      <c r="E5" s="131"/>
      <c r="F5" s="24"/>
    </row>
    <row r="6" spans="1:6" ht="15.75" thickBot="1" x14ac:dyDescent="0.3">
      <c r="A6" s="61">
        <v>1</v>
      </c>
      <c r="B6" s="63" t="s">
        <v>70</v>
      </c>
      <c r="C6" s="31" t="s">
        <v>59</v>
      </c>
      <c r="D6" s="28" t="s">
        <v>17</v>
      </c>
      <c r="E6" s="29"/>
      <c r="F6" s="24"/>
    </row>
    <row r="7" spans="1:6" ht="15.75" thickBot="1" x14ac:dyDescent="0.3">
      <c r="A7" s="65">
        <v>2</v>
      </c>
      <c r="B7" s="54" t="s">
        <v>60</v>
      </c>
      <c r="C7" s="54" t="s">
        <v>61</v>
      </c>
      <c r="D7" s="46" t="s">
        <v>17</v>
      </c>
      <c r="E7" s="30"/>
      <c r="F7" s="24"/>
    </row>
    <row r="8" spans="1:6" ht="17.25" customHeight="1" thickBot="1" x14ac:dyDescent="0.3">
      <c r="A8" s="64">
        <v>3</v>
      </c>
      <c r="B8" s="63" t="s">
        <v>62</v>
      </c>
      <c r="C8" s="31" t="s">
        <v>63</v>
      </c>
      <c r="D8" s="46" t="s">
        <v>17</v>
      </c>
      <c r="E8" s="30"/>
      <c r="F8" s="24"/>
    </row>
    <row r="9" spans="1:6" ht="15.75" thickBot="1" x14ac:dyDescent="0.3">
      <c r="A9" s="32"/>
      <c r="B9" s="33"/>
      <c r="C9" s="33"/>
      <c r="D9" s="34"/>
      <c r="E9" s="35"/>
      <c r="F9" s="24"/>
    </row>
    <row r="10" spans="1:6" ht="15.75" thickBot="1" x14ac:dyDescent="0.3">
      <c r="A10" s="125" t="s">
        <v>52</v>
      </c>
      <c r="B10" s="132" t="s">
        <v>64</v>
      </c>
      <c r="C10" s="133"/>
      <c r="D10" s="133"/>
      <c r="E10" s="134"/>
      <c r="F10" s="24"/>
    </row>
    <row r="11" spans="1:6" ht="53.25" customHeight="1" thickBot="1" x14ac:dyDescent="0.3">
      <c r="A11" s="126"/>
      <c r="B11" s="129" t="s">
        <v>65</v>
      </c>
      <c r="C11" s="135"/>
      <c r="D11" s="135"/>
      <c r="E11" s="136"/>
      <c r="F11" s="24"/>
    </row>
    <row r="12" spans="1:6" ht="15.75" thickBot="1" x14ac:dyDescent="0.3">
      <c r="A12" s="61">
        <v>1</v>
      </c>
      <c r="B12" s="63" t="s">
        <v>69</v>
      </c>
      <c r="C12" s="31" t="s">
        <v>59</v>
      </c>
      <c r="D12" s="46" t="s">
        <v>17</v>
      </c>
      <c r="E12" s="50"/>
      <c r="F12" s="24"/>
    </row>
    <row r="13" spans="1:6" ht="15.75" thickBot="1" x14ac:dyDescent="0.3">
      <c r="A13" s="65">
        <v>2</v>
      </c>
      <c r="B13" s="54" t="s">
        <v>66</v>
      </c>
      <c r="C13" s="54" t="s">
        <v>61</v>
      </c>
      <c r="D13" s="46" t="s">
        <v>17</v>
      </c>
      <c r="E13" s="50"/>
      <c r="F13" s="24"/>
    </row>
    <row r="14" spans="1:6" ht="15.75" thickBot="1" x14ac:dyDescent="0.3">
      <c r="A14" s="64">
        <v>3</v>
      </c>
      <c r="B14" s="63" t="s">
        <v>67</v>
      </c>
      <c r="C14" s="31" t="s">
        <v>68</v>
      </c>
      <c r="D14" s="46" t="s">
        <v>17</v>
      </c>
      <c r="E14" s="30"/>
      <c r="F14" s="24"/>
    </row>
    <row r="15" spans="1:6" ht="15.75" thickBot="1" x14ac:dyDescent="0.3">
      <c r="A15" s="26"/>
      <c r="B15" s="26"/>
      <c r="C15" s="26"/>
      <c r="D15" s="26"/>
      <c r="E15" s="26"/>
      <c r="F15" s="36"/>
    </row>
    <row r="16" spans="1:6" ht="15.75" thickBot="1" x14ac:dyDescent="0.3">
      <c r="A16" s="125" t="s">
        <v>53</v>
      </c>
      <c r="B16" s="127" t="s">
        <v>78</v>
      </c>
      <c r="C16" s="127"/>
      <c r="D16" s="127"/>
      <c r="E16" s="128"/>
    </row>
    <row r="17" spans="1:5" ht="46.5" customHeight="1" thickBot="1" x14ac:dyDescent="0.3">
      <c r="A17" s="126"/>
      <c r="B17" s="129" t="s">
        <v>81</v>
      </c>
      <c r="C17" s="130"/>
      <c r="D17" s="130"/>
      <c r="E17" s="131"/>
    </row>
    <row r="18" spans="1:5" ht="15.75" thickBot="1" x14ac:dyDescent="0.3">
      <c r="A18" s="61">
        <v>1</v>
      </c>
      <c r="B18" s="63" t="s">
        <v>73</v>
      </c>
      <c r="C18" s="31" t="s">
        <v>74</v>
      </c>
      <c r="D18" s="28" t="s">
        <v>17</v>
      </c>
      <c r="E18" s="29"/>
    </row>
    <row r="19" spans="1:5" ht="15.75" thickBot="1" x14ac:dyDescent="0.3">
      <c r="A19" s="60">
        <v>2</v>
      </c>
      <c r="B19" s="54" t="s">
        <v>71</v>
      </c>
      <c r="C19" s="54" t="s">
        <v>72</v>
      </c>
      <c r="D19" s="70" t="s">
        <v>17</v>
      </c>
      <c r="E19" s="71"/>
    </row>
    <row r="20" spans="1:5" ht="15.75" thickBot="1" x14ac:dyDescent="0.3">
      <c r="A20" s="26"/>
      <c r="B20" s="26"/>
      <c r="C20" s="26"/>
      <c r="D20" s="26"/>
      <c r="E20" s="26"/>
    </row>
    <row r="21" spans="1:5" ht="15.75" thickBot="1" x14ac:dyDescent="0.3">
      <c r="A21" s="125" t="s">
        <v>54</v>
      </c>
      <c r="B21" s="127" t="s">
        <v>79</v>
      </c>
      <c r="C21" s="127"/>
      <c r="D21" s="127"/>
      <c r="E21" s="128"/>
    </row>
    <row r="22" spans="1:5" ht="50.25" customHeight="1" thickBot="1" x14ac:dyDescent="0.3">
      <c r="A22" s="126"/>
      <c r="B22" s="129" t="s">
        <v>82</v>
      </c>
      <c r="C22" s="130"/>
      <c r="D22" s="130"/>
      <c r="E22" s="131"/>
    </row>
    <row r="23" spans="1:5" ht="15.75" thickBot="1" x14ac:dyDescent="0.3">
      <c r="A23" s="61">
        <v>1</v>
      </c>
      <c r="B23" s="62" t="s">
        <v>75</v>
      </c>
      <c r="C23" s="27" t="s">
        <v>76</v>
      </c>
      <c r="D23" s="28" t="s">
        <v>17</v>
      </c>
      <c r="E23" s="29"/>
    </row>
    <row r="24" spans="1:5" ht="15.75" thickBot="1" x14ac:dyDescent="0.3">
      <c r="A24" s="60">
        <v>2</v>
      </c>
      <c r="B24" s="54" t="s">
        <v>58</v>
      </c>
      <c r="C24" s="54" t="s">
        <v>59</v>
      </c>
      <c r="D24" s="70" t="s">
        <v>17</v>
      </c>
      <c r="E24" s="71"/>
    </row>
    <row r="25" spans="1:5" ht="15.75" thickBot="1" x14ac:dyDescent="0.3">
      <c r="A25" s="64">
        <v>3</v>
      </c>
      <c r="B25" s="63" t="s">
        <v>84</v>
      </c>
      <c r="C25" s="31" t="s">
        <v>61</v>
      </c>
      <c r="D25" s="46" t="s">
        <v>17</v>
      </c>
      <c r="E25" s="30"/>
    </row>
    <row r="26" spans="1:5" ht="15.75" thickBot="1" x14ac:dyDescent="0.3">
      <c r="A26" s="60">
        <v>4</v>
      </c>
      <c r="B26" s="54" t="s">
        <v>77</v>
      </c>
      <c r="C26" s="54" t="s">
        <v>63</v>
      </c>
      <c r="D26" s="46" t="s">
        <v>17</v>
      </c>
      <c r="E26" s="30"/>
    </row>
    <row r="27" spans="1:5" ht="15.75" thickBot="1" x14ac:dyDescent="0.3">
      <c r="A27" s="26"/>
      <c r="B27" s="26"/>
      <c r="C27" s="26"/>
      <c r="D27" s="26"/>
      <c r="E27" s="26"/>
    </row>
    <row r="28" spans="1:5" ht="15.75" thickBot="1" x14ac:dyDescent="0.3">
      <c r="A28" s="125" t="s">
        <v>55</v>
      </c>
      <c r="B28" s="127" t="s">
        <v>80</v>
      </c>
      <c r="C28" s="127"/>
      <c r="D28" s="127"/>
      <c r="E28" s="128"/>
    </row>
    <row r="29" spans="1:5" ht="45.75" customHeight="1" thickBot="1" x14ac:dyDescent="0.3">
      <c r="A29" s="126"/>
      <c r="B29" s="129" t="s">
        <v>83</v>
      </c>
      <c r="C29" s="130"/>
      <c r="D29" s="130"/>
      <c r="E29" s="131"/>
    </row>
    <row r="30" spans="1:5" ht="15.75" thickBot="1" x14ac:dyDescent="0.3">
      <c r="A30" s="61">
        <v>1</v>
      </c>
      <c r="B30" s="62" t="s">
        <v>85</v>
      </c>
      <c r="C30" s="27" t="s">
        <v>87</v>
      </c>
      <c r="D30" s="28" t="s">
        <v>17</v>
      </c>
      <c r="E30" s="29"/>
    </row>
    <row r="31" spans="1:5" ht="15.75" thickBot="1" x14ac:dyDescent="0.3">
      <c r="A31" s="60">
        <v>2</v>
      </c>
      <c r="B31" s="54" t="s">
        <v>88</v>
      </c>
      <c r="C31" s="54" t="s">
        <v>89</v>
      </c>
      <c r="D31" s="70" t="s">
        <v>17</v>
      </c>
      <c r="E31" s="71"/>
    </row>
    <row r="32" spans="1:5" ht="15.75" thickBot="1" x14ac:dyDescent="0.3">
      <c r="A32" s="64">
        <v>3</v>
      </c>
      <c r="B32" s="63" t="s">
        <v>60</v>
      </c>
      <c r="C32" s="63" t="s">
        <v>61</v>
      </c>
      <c r="D32" s="46" t="s">
        <v>17</v>
      </c>
      <c r="E32" s="30"/>
    </row>
    <row r="33" spans="1:5" ht="15.75" thickBot="1" x14ac:dyDescent="0.3">
      <c r="A33" s="60">
        <v>4</v>
      </c>
      <c r="B33" s="54" t="s">
        <v>86</v>
      </c>
      <c r="C33" s="54" t="s">
        <v>90</v>
      </c>
      <c r="D33" s="46" t="s">
        <v>17</v>
      </c>
      <c r="E33" s="30"/>
    </row>
    <row r="34" spans="1:5" ht="15.75" thickBot="1" x14ac:dyDescent="0.3">
      <c r="A34" s="61">
        <v>5</v>
      </c>
      <c r="B34" s="62" t="s">
        <v>91</v>
      </c>
      <c r="C34" s="27" t="s">
        <v>92</v>
      </c>
      <c r="D34" s="68" t="s">
        <v>17</v>
      </c>
      <c r="E34" s="67"/>
    </row>
    <row r="35" spans="1:5" ht="15.75" thickBot="1" x14ac:dyDescent="0.3">
      <c r="A35" s="60">
        <v>6</v>
      </c>
      <c r="B35" s="54" t="s">
        <v>93</v>
      </c>
      <c r="C35" s="54" t="s">
        <v>94</v>
      </c>
      <c r="D35" s="66" t="s">
        <v>17</v>
      </c>
      <c r="E35" s="67"/>
    </row>
    <row r="36" spans="1:5" ht="15.75" thickBot="1" x14ac:dyDescent="0.3">
      <c r="A36" s="61"/>
      <c r="B36" s="62" t="s">
        <v>95</v>
      </c>
      <c r="C36" s="27" t="s">
        <v>96</v>
      </c>
      <c r="D36" s="68" t="s">
        <v>17</v>
      </c>
      <c r="E36" s="67"/>
    </row>
    <row r="37" spans="1:5" ht="15.75" thickBot="1" x14ac:dyDescent="0.3">
      <c r="A37" s="60">
        <v>7</v>
      </c>
      <c r="B37" s="54" t="s">
        <v>97</v>
      </c>
      <c r="C37" s="54" t="s">
        <v>98</v>
      </c>
      <c r="D37" s="66" t="s">
        <v>17</v>
      </c>
      <c r="E37" s="67"/>
    </row>
    <row r="38" spans="1:5" ht="15.75" thickBot="1" x14ac:dyDescent="0.3">
      <c r="A38" s="32"/>
      <c r="B38" s="33"/>
      <c r="C38" s="33"/>
      <c r="D38" s="34"/>
      <c r="E38" s="35"/>
    </row>
  </sheetData>
  <sheetProtection selectLockedCells="1" selectUnlockedCells="1"/>
  <mergeCells count="16">
    <mergeCell ref="B29:E29"/>
    <mergeCell ref="B28:E28"/>
    <mergeCell ref="A28:A29"/>
    <mergeCell ref="B2:E2"/>
    <mergeCell ref="B4:E4"/>
    <mergeCell ref="B5:E5"/>
    <mergeCell ref="A4:A5"/>
    <mergeCell ref="B22:E22"/>
    <mergeCell ref="B21:E21"/>
    <mergeCell ref="A21:A22"/>
    <mergeCell ref="A16:A17"/>
    <mergeCell ref="B16:E16"/>
    <mergeCell ref="B17:E17"/>
    <mergeCell ref="A10:A11"/>
    <mergeCell ref="B10:E10"/>
    <mergeCell ref="B11:E11"/>
  </mergeCells>
  <phoneticPr fontId="35" type="noConversion"/>
  <conditionalFormatting sqref="D1:D9 D12:D14 D20:D1048576">
    <cfRule type="containsText" dxfId="28" priority="22" operator="containsText" text="Not Applicable">
      <formula>NOT(ISERROR(SEARCH("Not Applicable",D1)))</formula>
    </cfRule>
    <cfRule type="containsText" dxfId="27" priority="23" operator="containsText" text="Not Executed">
      <formula>NOT(ISERROR(SEARCH("Not Executed",D1)))</formula>
    </cfRule>
    <cfRule type="containsText" dxfId="26" priority="24" operator="containsText" text="Fail">
      <formula>NOT(ISERROR(SEARCH("Fail",D1)))</formula>
    </cfRule>
    <cfRule type="containsText" dxfId="25" priority="25" operator="containsText" text="Pass">
      <formula>NOT(ISERROR(SEARCH("Pass",D1)))</formula>
    </cfRule>
  </conditionalFormatting>
  <conditionalFormatting sqref="D1:D14 D20:D1048576">
    <cfRule type="containsText" dxfId="24" priority="21" operator="containsText" text="Pending Review">
      <formula>NOT(ISERROR(SEARCH("Pending Review",D1)))</formula>
    </cfRule>
  </conditionalFormatting>
  <conditionalFormatting sqref="D15:D19 D34:D38">
    <cfRule type="containsText" dxfId="23" priority="16" operator="containsText" text="Pending Review">
      <formula>NOT(ISERROR(SEARCH("Pending Review",D15)))</formula>
    </cfRule>
  </conditionalFormatting>
  <conditionalFormatting sqref="D15:D19 D34:D38">
    <cfRule type="containsText" dxfId="22" priority="17" operator="containsText" text="Not Applicable">
      <formula>NOT(ISERROR(SEARCH("Not Applicable",D15)))</formula>
    </cfRule>
    <cfRule type="containsText" dxfId="21" priority="18" operator="containsText" text="Not Executed">
      <formula>NOT(ISERROR(SEARCH("Not Executed",D15)))</formula>
    </cfRule>
    <cfRule type="containsText" dxfId="20" priority="19" operator="containsText" text="Fail">
      <formula>NOT(ISERROR(SEARCH("Fail",D15)))</formula>
    </cfRule>
    <cfRule type="containsText" dxfId="19" priority="20" operator="containsText" text="Pass">
      <formula>NOT(ISERROR(SEARCH("Pass",D15)))</formula>
    </cfRule>
  </conditionalFormatting>
  <conditionalFormatting sqref="D26">
    <cfRule type="containsText" dxfId="18" priority="6" operator="containsText" text="Pending Review">
      <formula>NOT(ISERROR(SEARCH("Pending Review",D26)))</formula>
    </cfRule>
  </conditionalFormatting>
  <conditionalFormatting sqref="D26">
    <cfRule type="containsText" dxfId="17" priority="7" operator="containsText" text="Not Applicable">
      <formula>NOT(ISERROR(SEARCH("Not Applicable",D26)))</formula>
    </cfRule>
    <cfRule type="containsText" dxfId="16" priority="8" operator="containsText" text="Not Executed">
      <formula>NOT(ISERROR(SEARCH("Not Executed",D26)))</formula>
    </cfRule>
    <cfRule type="containsText" dxfId="15" priority="9" operator="containsText" text="Fail">
      <formula>NOT(ISERROR(SEARCH("Fail",D26)))</formula>
    </cfRule>
    <cfRule type="containsText" dxfId="14" priority="10" operator="containsText" text="Pass">
      <formula>NOT(ISERROR(SEARCH("Pass",D26)))</formula>
    </cfRule>
  </conditionalFormatting>
  <conditionalFormatting sqref="D33">
    <cfRule type="containsText" dxfId="13" priority="1" operator="containsText" text="Pending Review">
      <formula>NOT(ISERROR(SEARCH("Pending Review",D33)))</formula>
    </cfRule>
  </conditionalFormatting>
  <conditionalFormatting sqref="D33">
    <cfRule type="containsText" dxfId="12" priority="2" operator="containsText" text="Not Applicable">
      <formula>NOT(ISERROR(SEARCH("Not Applicable",D33)))</formula>
    </cfRule>
    <cfRule type="containsText" dxfId="11" priority="3" operator="containsText" text="Not Executed">
      <formula>NOT(ISERROR(SEARCH("Not Executed",D33)))</formula>
    </cfRule>
    <cfRule type="containsText" dxfId="10" priority="4" operator="containsText" text="Fail">
      <formula>NOT(ISERROR(SEARCH("Fail",D33)))</formula>
    </cfRule>
    <cfRule type="containsText" dxfId="9" priority="5" operator="containsText" text="Pass">
      <formula>NOT(ISERROR(SEARCH("Pass",D33)))</formula>
    </cfRule>
  </conditionalFormatting>
  <dataValidations count="1">
    <dataValidation type="list" allowBlank="1" showInputMessage="1" showErrorMessage="1" sqref="D6:D8 D18:D19 D23:D26 D30:D37 D12:D14">
      <formula1>"Pass,Fail,Not Executed,Not Applicable,Pending Review"</formula1>
    </dataValidation>
  </dataValidations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4"/>
  <sheetViews>
    <sheetView zoomScale="110" zoomScaleNormal="110" workbookViewId="0">
      <selection activeCell="C10" sqref="C10"/>
    </sheetView>
  </sheetViews>
  <sheetFormatPr defaultColWidth="8.7109375" defaultRowHeight="15" x14ac:dyDescent="0.25"/>
  <cols>
    <col min="1" max="1" width="8.7109375" style="1"/>
    <col min="2" max="2" width="11.7109375" style="1" customWidth="1"/>
    <col min="3" max="3" width="15.5703125" style="1" customWidth="1"/>
    <col min="4" max="4" width="10.5703125" style="1" customWidth="1"/>
    <col min="5" max="5" width="11.140625" style="1" customWidth="1"/>
    <col min="6" max="6" width="85.140625" style="1" customWidth="1"/>
    <col min="7" max="16384" width="8.7109375" style="1"/>
  </cols>
  <sheetData>
    <row r="2" spans="2:6" x14ac:dyDescent="0.25">
      <c r="B2" s="19" t="s">
        <v>23</v>
      </c>
      <c r="C2" s="20" t="s">
        <v>24</v>
      </c>
      <c r="D2" s="20" t="s">
        <v>25</v>
      </c>
      <c r="E2" s="20" t="s">
        <v>26</v>
      </c>
      <c r="F2" s="21" t="s">
        <v>27</v>
      </c>
    </row>
    <row r="3" spans="2:6" x14ac:dyDescent="0.25">
      <c r="B3" s="1">
        <v>1</v>
      </c>
      <c r="C3" s="1" t="s">
        <v>56</v>
      </c>
      <c r="D3" s="1" t="s">
        <v>31</v>
      </c>
      <c r="F3" s="1" t="s">
        <v>32</v>
      </c>
    </row>
    <row r="4" spans="2:6" x14ac:dyDescent="0.25">
      <c r="C4" s="51"/>
    </row>
    <row r="5" spans="2:6" x14ac:dyDescent="0.25">
      <c r="C5" s="51"/>
    </row>
    <row r="6" spans="2:6" x14ac:dyDescent="0.25">
      <c r="C6" s="51"/>
    </row>
    <row r="7" spans="2:6" x14ac:dyDescent="0.25">
      <c r="C7" s="51"/>
    </row>
    <row r="8" spans="2:6" x14ac:dyDescent="0.25">
      <c r="C8" s="51"/>
      <c r="F8" s="56"/>
    </row>
    <row r="9" spans="2:6" x14ac:dyDescent="0.25">
      <c r="C9" s="51"/>
      <c r="F9" s="56"/>
    </row>
    <row r="10" spans="2:6" x14ac:dyDescent="0.25">
      <c r="C10" s="51"/>
    </row>
    <row r="11" spans="2:6" x14ac:dyDescent="0.25">
      <c r="C11" s="51"/>
    </row>
    <row r="12" spans="2:6" x14ac:dyDescent="0.25">
      <c r="C12" s="51"/>
    </row>
    <row r="13" spans="2:6" x14ac:dyDescent="0.25">
      <c r="C13" s="51"/>
    </row>
    <row r="14" spans="2:6" x14ac:dyDescent="0.25">
      <c r="C14" s="51"/>
    </row>
  </sheetData>
  <sheetProtection selectLockedCells="1" selectUnlockedCells="1"/>
  <phoneticPr fontId="35" type="noConversion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BE14605BFE4C4CAA6B35875E44ABA7" ma:contentTypeVersion="1" ma:contentTypeDescription="Create a new document." ma:contentTypeScope="" ma:versionID="a3c54e0983df13446bbc8fa687c7d3d8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8572caf305a4b6fb7c2c1ba36ee953bd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041051C-8435-43FF-BF0F-8B38F9C45A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75CD1B-2CED-4D7B-94C0-4EDA1B98D061}">
  <ds:schemaRefs>
    <ds:schemaRef ds:uri="http://purl.org/dc/terms/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microsoft.com/sharepoint/v4"/>
  </ds:schemaRefs>
</ds:datastoreItem>
</file>

<file path=customXml/itemProps3.xml><?xml version="1.0" encoding="utf-8"?>
<ds:datastoreItem xmlns:ds="http://schemas.openxmlformats.org/officeDocument/2006/customXml" ds:itemID="{8B502DB4-CE81-4EAF-AA31-163A35522D5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Overview</vt:lpstr>
      <vt:lpstr>onChildAppSelected</vt:lpstr>
      <vt:lpstr>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Szado, Chris (C.J.)</dc:creator>
  <cp:lastModifiedBy>Pactera</cp:lastModifiedBy>
  <cp:lastPrinted>2014-06-09T19:27:34Z</cp:lastPrinted>
  <dcterms:created xsi:type="dcterms:W3CDTF">2014-02-11T14:38:25Z</dcterms:created>
  <dcterms:modified xsi:type="dcterms:W3CDTF">2018-04-20T10:08:35Z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0x010100F4BE14605BFE4C4CAA6B35875E44ABA7</vt:lpwstr>
  </property>
  <property fmtid="{D5CDD505-2E9C-101B-9397-08002B2CF9AE}" pid="3" name="_NewReviewCycle">
    <vt:lpwstr/>
  </property>
</Properties>
</file>