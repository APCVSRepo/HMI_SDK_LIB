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1"/>
  <bookViews>
    <workbookView xWindow="0" yWindow="120" windowWidth="20490" windowHeight="7635" tabRatio="855"/>
  </bookViews>
  <sheets>
    <sheet name="Overview" sheetId="1" r:id="rId1"/>
    <sheet name="OnSoftBtnClicked" sheetId="2" r:id="rId2"/>
    <sheet name="OnTimeOut" sheetId="15" r:id="rId3"/>
    <sheet name="Version" sheetId="14" r:id="rId4"/>
  </sheets>
  <externalReferences>
    <externalReference r:id="rId5"/>
  </externalReferences>
  <definedNames>
    <definedName name="Environment">"#REF!"</definedName>
    <definedName name="Environment_1">"#REF!"</definedName>
    <definedName name="Environment_2">"#REF!"</definedName>
    <definedName name="Feature">"#REF!"</definedName>
    <definedName name="Feature_1">"#REF!"</definedName>
    <definedName name="Feature_2">"#REF!"</definedName>
    <definedName name="FPN">"#REF!"</definedName>
    <definedName name="FPN_1">"#REF!"</definedName>
    <definedName name="FPN_2">"#REF!"</definedName>
    <definedName name="LocationLookup">[1]Lookups!$E$2:$E$5</definedName>
    <definedName name="PartNumberLookup">#N/A</definedName>
    <definedName name="Radio">"#REF!"</definedName>
    <definedName name="Radio_1">"#REF!"</definedName>
    <definedName name="Radio_2">"#REF!"</definedName>
    <definedName name="Result">"#REF!"</definedName>
    <definedName name="Result_1">"#REF!"</definedName>
    <definedName name="Result_2">"#REF!"</definedName>
    <definedName name="SW_History">#N/A</definedName>
    <definedName name="SW_History_1">#N/A</definedName>
    <definedName name="SW_History_2">#N/A</definedName>
    <definedName name="SW_History_3">#N/A</definedName>
    <definedName name="SW_History_4">#N/A</definedName>
    <definedName name="SW_History_5">#N/A</definedName>
    <definedName name="Sync_Version">"#REF!"</definedName>
    <definedName name="Sync_Version_1">"#REF!"</definedName>
    <definedName name="Sync_Version_2">"#REF!"</definedName>
    <definedName name="Test_Method">"#REF!"</definedName>
    <definedName name="Test_Method_1">"#REF!"</definedName>
    <definedName name="Test_Method_2">"#REF!"</definedName>
    <definedName name="VMCU">"#REF!"</definedName>
    <definedName name="VMCU_1">"#REF!"</definedName>
    <definedName name="VMCU_2">"#REF!"</definedName>
  </definedNames>
  <calcPr calcId="145621"/>
</workbook>
</file>

<file path=xl/calcChain.xml><?xml version="1.0" encoding="utf-8"?>
<calcChain xmlns="http://schemas.openxmlformats.org/spreadsheetml/2006/main">
  <c r="I20" i="1" l="1"/>
  <c r="H20" i="1"/>
  <c r="F20" i="1"/>
  <c r="E20" i="1"/>
  <c r="G20" i="1"/>
  <c r="E47" i="1"/>
  <c r="H47" i="1"/>
  <c r="G47" i="1"/>
  <c r="F47" i="1"/>
  <c r="J20" i="1" l="1"/>
  <c r="I47" i="1"/>
  <c r="E34" i="1"/>
  <c r="E53" i="1" l="1"/>
  <c r="H35" i="1"/>
  <c r="G35" i="1"/>
  <c r="F35" i="1"/>
  <c r="E35" i="1"/>
  <c r="H34" i="1"/>
  <c r="G34" i="1"/>
  <c r="F34" i="1"/>
  <c r="I35" i="1" l="1"/>
  <c r="H19" i="1"/>
  <c r="I19" i="1"/>
  <c r="I34" i="1"/>
  <c r="F19" i="1"/>
  <c r="G19" i="1"/>
  <c r="E40" i="1" l="1"/>
  <c r="F26" i="1"/>
  <c r="I26" i="1"/>
  <c r="H26" i="1"/>
  <c r="E19" i="1"/>
  <c r="J19" i="1" s="1"/>
  <c r="G26" i="1"/>
  <c r="E26" i="1" l="1"/>
  <c r="J26" i="1" s="1"/>
</calcChain>
</file>

<file path=xl/comments1.xml><?xml version="1.0" encoding="utf-8"?>
<comments xmlns="http://schemas.openxmlformats.org/spreadsheetml/2006/main">
  <authors>
    <author>Cheng, kyle (Q.)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Cheng, kyle (Q.):</t>
        </r>
        <r>
          <rPr>
            <sz val="9"/>
            <color indexed="81"/>
            <rFont val="Tahoma"/>
            <family val="2"/>
          </rPr>
          <t xml:space="preserve">
Not Applicable, for some phones app cannot be found after reboot until app is opened by user for once.</t>
        </r>
      </text>
    </comment>
  </commentList>
</comments>
</file>

<file path=xl/sharedStrings.xml><?xml version="1.0" encoding="utf-8"?>
<sst xmlns="http://schemas.openxmlformats.org/spreadsheetml/2006/main" count="144" uniqueCount="90">
  <si>
    <t>Tester Name:</t>
  </si>
  <si>
    <t>Test Execution Date</t>
  </si>
  <si>
    <t>TEST  RESULT  SUMMARY</t>
  </si>
  <si>
    <t>Test Procedure #</t>
  </si>
  <si>
    <t>Test Procedure</t>
  </si>
  <si>
    <t>Testing Date</t>
  </si>
  <si>
    <t>Total No. of Test Steps</t>
  </si>
  <si>
    <t>No. of Test Steps Not Executed</t>
  </si>
  <si>
    <t>No. of Test Steps Passed</t>
  </si>
  <si>
    <t>No. of Test Steps Failed</t>
  </si>
  <si>
    <t>No. of Test Steps Not Applicable</t>
  </si>
  <si>
    <t>% Pass Rate</t>
  </si>
  <si>
    <t>Comments</t>
  </si>
  <si>
    <t>Overall Status</t>
  </si>
  <si>
    <t>TEST  RESULT  OVERVIEW</t>
  </si>
  <si>
    <t xml:space="preserve">Testing Result </t>
  </si>
  <si>
    <t>Test Case Titles</t>
  </si>
  <si>
    <t>Pass</t>
  </si>
  <si>
    <t>Fail</t>
  </si>
  <si>
    <t>Not 
Executed</t>
  </si>
  <si>
    <t>Not 
Applicable</t>
  </si>
  <si>
    <t>Total</t>
  </si>
  <si>
    <t>TC #</t>
  </si>
  <si>
    <t>Version #</t>
  </si>
  <si>
    <t>Date of Changes</t>
  </si>
  <si>
    <t xml:space="preserve">Author </t>
  </si>
  <si>
    <t>Reviewer</t>
  </si>
  <si>
    <t>Change Description</t>
  </si>
  <si>
    <t>Test Steps and Preconditions</t>
  </si>
  <si>
    <t>Expected Results</t>
  </si>
  <si>
    <t>Actual Results</t>
  </si>
  <si>
    <t>9th Apr 2018</t>
    <phoneticPr fontId="35" type="noConversion"/>
  </si>
  <si>
    <t>zenghuan</t>
    <phoneticPr fontId="35" type="noConversion"/>
  </si>
  <si>
    <t>Created test cases and changed format for Gen3</t>
    <phoneticPr fontId="35" type="noConversion"/>
  </si>
  <si>
    <t>Alert Test Plan Document</t>
    <phoneticPr fontId="35" type="noConversion"/>
  </si>
  <si>
    <t>FULL TEST CASE RESULTS</t>
    <phoneticPr fontId="35" type="noConversion"/>
  </si>
  <si>
    <t>OnSoftBtnCLicked</t>
    <phoneticPr fontId="35" type="noConversion"/>
  </si>
  <si>
    <t>OnSoftBtnCLicked_Normal</t>
    <phoneticPr fontId="35" type="noConversion"/>
  </si>
  <si>
    <t>OnSoftBtnClicked_NoId</t>
    <phoneticPr fontId="35" type="noConversion"/>
  </si>
  <si>
    <t>ON_CALL(*this,getActive()).WillByDefault(Invoke(&amp;applist_,&amp;AppList::getActiveApp()));</t>
    <phoneticPr fontId="35" type="noConversion"/>
  </si>
  <si>
    <t>EXPECT_CALL(appListMock,getActiveApp()).WillRepeatedly(Return(&amp;appDataMock));</t>
    <phoneticPr fontId="35" type="noConversion"/>
  </si>
  <si>
    <t>EXPECT_CALL(appDataMock,OnAlertResponse(RESULT_SUCCESS)).Times(AtLeast(1));</t>
    <phoneticPr fontId="35" type="noConversion"/>
  </si>
  <si>
    <r>
      <t>Vehicle:</t>
    </r>
    <r>
      <rPr>
        <sz val="11"/>
        <rFont val="Calibri"/>
        <family val="2"/>
      </rPr>
      <t xml:space="preserve">     (Ignition: ON)    (Door Status: CLOSED)      (Door: LOCKED)
</t>
    </r>
    <r>
      <rPr>
        <b/>
        <sz val="11"/>
        <rFont val="Calibri"/>
        <family val="2"/>
      </rPr>
      <t xml:space="preserve">Mock Object : </t>
    </r>
    <r>
      <rPr>
        <sz val="11"/>
        <rFont val="Calibri"/>
        <family val="2"/>
      </rPr>
      <t xml:space="preserve"> (AppListMock: appListMock)   (AppDataMock : appDataMock) </t>
    </r>
    <r>
      <rPr>
        <b/>
        <sz val="11"/>
        <rFont val="Calibri"/>
        <family val="2"/>
      </rPr>
      <t xml:space="preserve">
Test Object:</t>
    </r>
    <r>
      <rPr>
        <sz val="11"/>
        <rFont val="Calibri"/>
        <family val="2"/>
      </rPr>
      <t xml:space="preserve">      (AlertView : alertView(&amp;appListMock))    </t>
    </r>
    <phoneticPr fontId="35" type="noConversion"/>
  </si>
  <si>
    <r>
      <t xml:space="preserve">Vehicle:    </t>
    </r>
    <r>
      <rPr>
        <sz val="11"/>
        <rFont val="Calibri"/>
        <family val="2"/>
      </rPr>
      <t xml:space="preserve"> (Ignition: ON)    (Door Status: CLOSED)      (Door: LOCKED)</t>
    </r>
    <r>
      <rPr>
        <b/>
        <sz val="11"/>
        <rFont val="Calibri"/>
        <family val="2"/>
      </rPr>
      <t xml:space="preserve">
Mock Object : </t>
    </r>
    <r>
      <rPr>
        <sz val="11"/>
        <rFont val="Calibri"/>
        <family val="2"/>
      </rPr>
      <t xml:space="preserve"> (AppListMock: appListMock)   (AppDataMock : appDataMock) </t>
    </r>
    <r>
      <rPr>
        <b/>
        <sz val="11"/>
        <rFont val="Calibri"/>
        <family val="2"/>
      </rPr>
      <t xml:space="preserve">
Test Object:      </t>
    </r>
    <r>
      <rPr>
        <sz val="11"/>
        <rFont val="Calibri"/>
        <family val="2"/>
      </rPr>
      <t xml:space="preserve">(AlertView : alertView(&amp;appListMock))    </t>
    </r>
    <phoneticPr fontId="35" type="noConversion"/>
  </si>
  <si>
    <t>alertView.OnSoftBtnCilck(100);</t>
    <phoneticPr fontId="35" type="noConversion"/>
  </si>
  <si>
    <t>OnSoftBtnCilck(int) Interface input 100: YES</t>
    <phoneticPr fontId="35" type="noConversion"/>
  </si>
  <si>
    <t>Mock getActiveApp()  : YES</t>
    <phoneticPr fontId="35" type="noConversion"/>
  </si>
  <si>
    <t>EXPECT_CALL(appDataMock,OnAlertResponse(RESULT_SUCCESS)).Times(AtLeast(1));</t>
    <phoneticPr fontId="35" type="noConversion"/>
  </si>
  <si>
    <t>Mock OnAlertResponse(int)  : YES</t>
    <phoneticPr fontId="35" type="noConversion"/>
  </si>
  <si>
    <t>Mock OnSoftButtonClick(int,int,std::string):YES</t>
    <phoneticPr fontId="35" type="noConversion"/>
  </si>
  <si>
    <t>alertView.OnSoftBtnCilck(-1);</t>
    <phoneticPr fontId="35" type="noConversion"/>
  </si>
  <si>
    <t>OnSoftBtnCilck(int) Interface input -1: YES</t>
    <phoneticPr fontId="35" type="noConversion"/>
  </si>
  <si>
    <t>1.1 OnSoftBtnClicked</t>
    <phoneticPr fontId="35" type="noConversion"/>
  </si>
  <si>
    <t>1.1.1 OnSoftBtnClicked_Normal</t>
    <phoneticPr fontId="35" type="noConversion"/>
  </si>
  <si>
    <t>HMI TESTING INFORMATION</t>
    <phoneticPr fontId="35" type="noConversion"/>
  </si>
  <si>
    <t>MODIFICATIONS NOTES</t>
    <phoneticPr fontId="35" type="noConversion"/>
  </si>
  <si>
    <t>VALIDATION INFORMATION</t>
    <phoneticPr fontId="35" type="noConversion"/>
  </si>
  <si>
    <t>Doumnet Reference</t>
    <phoneticPr fontId="35" type="noConversion"/>
  </si>
  <si>
    <t>Test Files</t>
    <phoneticPr fontId="35" type="noConversion"/>
  </si>
  <si>
    <t>Version or Drop Date</t>
    <phoneticPr fontId="35" type="noConversion"/>
  </si>
  <si>
    <t>AlertViewTest.h/cpp</t>
    <phoneticPr fontId="35" type="noConversion"/>
  </si>
  <si>
    <t>% Complete for 1.1</t>
    <phoneticPr fontId="35" type="noConversion"/>
  </si>
  <si>
    <t>1.1.1</t>
    <phoneticPr fontId="35" type="noConversion"/>
  </si>
  <si>
    <t>EXPECT_CALL(appDataMock,OnSoftButtonClick(100,RESULT_SUCCESS,_)).Times(AtLeast(1));</t>
    <phoneticPr fontId="35" type="noConversion"/>
  </si>
  <si>
    <t>1.1.2 OnSoftBtnClicked_NoId</t>
    <phoneticPr fontId="35" type="noConversion"/>
  </si>
  <si>
    <t>1.1.3 OnSoftBtnClicked_sendNotification</t>
    <phoneticPr fontId="35" type="noConversion"/>
  </si>
  <si>
    <t>Test Procedure (1.1:Alert Soft Button Clicked)</t>
    <phoneticPr fontId="35" type="noConversion"/>
  </si>
  <si>
    <t>1.2 OnTimeOut</t>
    <phoneticPr fontId="35" type="noConversion"/>
  </si>
  <si>
    <t>1.2.1 OnTimeOut</t>
    <phoneticPr fontId="35" type="noConversion"/>
  </si>
  <si>
    <t>1.1.2</t>
    <phoneticPr fontId="35" type="noConversion"/>
  </si>
  <si>
    <t>1.1.3</t>
    <phoneticPr fontId="35" type="noConversion"/>
  </si>
  <si>
    <t>OnSoftBtnCLicked_SendNotification</t>
    <phoneticPr fontId="35" type="noConversion"/>
  </si>
  <si>
    <t>AppListMock object Mock InVoke  getActiveApp(): YES</t>
    <phoneticPr fontId="35" type="noConversion"/>
  </si>
  <si>
    <t>AppListMock object Mock InVoke  getActiveApp(): YES</t>
    <phoneticPr fontId="35" type="noConversion"/>
  </si>
  <si>
    <t>ON_CALL(*this,OnSoftButtonClick(_,_,_)).WillByDefault(Invoke(&amp;appdata_,&amp;AppData::OnSoftButtonClick()));</t>
    <phoneticPr fontId="35" type="noConversion"/>
  </si>
  <si>
    <r>
      <t>Vehicle:</t>
    </r>
    <r>
      <rPr>
        <sz val="11"/>
        <rFont val="Calibri"/>
        <family val="2"/>
      </rPr>
      <t xml:space="preserve">     (Ignition: ON)    (Door Status: CLOSED)      (Door: LOCKED)
</t>
    </r>
    <r>
      <rPr>
        <b/>
        <sz val="11"/>
        <rFont val="Calibri"/>
        <family val="2"/>
      </rPr>
      <t xml:space="preserve">Mock Object : </t>
    </r>
    <r>
      <rPr>
        <sz val="11"/>
        <rFont val="Calibri"/>
        <family val="2"/>
      </rPr>
      <t xml:space="preserve"> (AppListMock: appListMock)   (AppDataMock : appDataMock) </t>
    </r>
    <r>
      <rPr>
        <b/>
        <sz val="11"/>
        <rFont val="Calibri"/>
        <family val="2"/>
      </rPr>
      <t xml:space="preserve">
Test Object:</t>
    </r>
    <r>
      <rPr>
        <sz val="11"/>
        <rFont val="Calibri"/>
        <family val="2"/>
      </rPr>
      <t xml:space="preserve">      (AlertView : alertView(&amp;appListMock))    </t>
    </r>
    <phoneticPr fontId="35" type="noConversion"/>
  </si>
  <si>
    <t>AppDataMock object Mock InVoke  OnSoftButtonClick(_,_,_): YES</t>
    <phoneticPr fontId="35" type="noConversion"/>
  </si>
  <si>
    <t>m_Buttons.sendNotification("Buttons.OnButtonPress",_);</t>
    <phoneticPr fontId="35" type="noConversion"/>
  </si>
  <si>
    <t>m_Buttons.sendNotification("Buttons.OnButtonPress",_) is called: YES</t>
    <phoneticPr fontId="35" type="noConversion"/>
  </si>
  <si>
    <t>OnTimeOut</t>
    <phoneticPr fontId="35" type="noConversion"/>
  </si>
  <si>
    <t>1.2.1</t>
    <phoneticPr fontId="35" type="noConversion"/>
  </si>
  <si>
    <t>Mock OnAlertResponse(int)  : YES</t>
    <phoneticPr fontId="35" type="noConversion"/>
  </si>
  <si>
    <t>EXPECT_CALL(appDataMock,OnAlertResponse(RESULT_SUCCESS)).Times(AtLeast(1));</t>
    <phoneticPr fontId="35" type="noConversion"/>
  </si>
  <si>
    <t>alertView.OnSoftBtnCilck(100);</t>
    <phoneticPr fontId="35" type="noConversion"/>
  </si>
  <si>
    <t>OnSoftBtnCilck(int) Interface input 100: YES</t>
    <phoneticPr fontId="35" type="noConversion"/>
  </si>
  <si>
    <t>EXPECT_CALL(appDataMock,OnSoftButtonClick(100,RESULT_SUCCESS,_)).Times(AtLeast(1));</t>
    <phoneticPr fontId="35" type="noConversion"/>
  </si>
  <si>
    <t>Mock OnSoftButtonClick(int,int,std::string):YES</t>
    <phoneticPr fontId="35" type="noConversion"/>
  </si>
  <si>
    <t>alertView.OnTimeOut();</t>
    <phoneticPr fontId="35" type="noConversion"/>
  </si>
  <si>
    <t>OnTimeOut() Interface  is called . 100: YES</t>
    <phoneticPr fontId="35" type="noConversion"/>
  </si>
  <si>
    <t>Test Procedure (1.2:Alert Soft Button Time Out)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</si>
</sst>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0"/>
      <name val="Arial"/>
      <family val="2"/>
    </font>
    <font>
      <sz val="10"/>
      <name val="Arial"/>
      <family val="2"/>
      <charset val="1"/>
    </font>
    <font>
      <sz val="12"/>
      <color indexed="8"/>
      <name val="Calibri"/>
      <family val="2"/>
      <charset val="1"/>
    </font>
    <font>
      <sz val="11"/>
      <color indexed="8"/>
      <name val="Calibri"/>
      <family val="2"/>
      <charset val="1"/>
    </font>
    <font>
      <b/>
      <sz val="20"/>
      <color indexed="56"/>
      <name val="Calibri"/>
      <family val="2"/>
      <charset val="1"/>
    </font>
    <font>
      <b/>
      <sz val="12"/>
      <color indexed="8"/>
      <name val="Calibri"/>
      <family val="2"/>
      <charset val="1"/>
    </font>
    <font>
      <b/>
      <sz val="16"/>
      <name val="Bookman Old Style"/>
      <family val="1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u/>
      <sz val="10"/>
      <color indexed="12"/>
      <name val="Arial"/>
      <family val="2"/>
      <charset val="1"/>
    </font>
    <font>
      <b/>
      <sz val="9"/>
      <name val="Trebuchet MS"/>
      <family val="2"/>
      <charset val="1"/>
    </font>
    <font>
      <b/>
      <sz val="13"/>
      <name val="Bookman Old Style"/>
      <family val="1"/>
      <charset val="1"/>
    </font>
    <font>
      <b/>
      <sz val="10"/>
      <name val="Bookman Old Style"/>
      <family val="1"/>
      <charset val="1"/>
    </font>
    <font>
      <sz val="10"/>
      <name val="Calibri"/>
      <family val="2"/>
      <charset val="1"/>
    </font>
    <font>
      <sz val="10"/>
      <name val="Bookman Old Style"/>
      <family val="1"/>
      <charset val="1"/>
    </font>
    <font>
      <b/>
      <sz val="11"/>
      <color indexed="8"/>
      <name val="Calibri"/>
      <family val="2"/>
      <charset val="1"/>
    </font>
    <font>
      <b/>
      <u/>
      <sz val="11"/>
      <name val="Calibri"/>
      <family val="2"/>
      <charset val="1"/>
    </font>
    <font>
      <b/>
      <sz val="11"/>
      <name val="Calibri"/>
      <family val="2"/>
      <charset val="1"/>
    </font>
    <font>
      <b/>
      <sz val="10"/>
      <color indexed="8"/>
      <name val="Arial"/>
      <family val="2"/>
      <charset val="1"/>
    </font>
    <font>
      <sz val="11"/>
      <color indexed="9"/>
      <name val="Calibri"/>
      <family val="2"/>
      <charset val="1"/>
    </font>
    <font>
      <sz val="10"/>
      <name val="Arial"/>
      <family val="2"/>
    </font>
    <font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u/>
      <sz val="10"/>
      <color indexed="12"/>
      <name val="Arial"/>
      <family val="2"/>
    </font>
    <font>
      <sz val="12"/>
      <color theme="1"/>
      <name val="宋体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Arial"/>
      <family val="2"/>
    </font>
    <font>
      <b/>
      <sz val="9"/>
      <name val="Trebuchet MS"/>
      <family val="2"/>
    </font>
    <font>
      <b/>
      <sz val="14"/>
      <color rgb="FF002060"/>
      <name val="宋体"/>
      <family val="2"/>
      <scheme val="minor"/>
    </font>
    <font>
      <b/>
      <sz val="14"/>
      <color theme="1"/>
      <name val="宋体"/>
      <family val="2"/>
      <scheme val="minor"/>
    </font>
    <font>
      <b/>
      <sz val="11.5"/>
      <color theme="1"/>
      <name val="宋体"/>
      <family val="2"/>
      <scheme val="minor"/>
    </font>
    <font>
      <sz val="9"/>
      <name val="宋体"/>
      <family val="3"/>
      <charset val="134"/>
    </font>
  </fonts>
  <fills count="22">
    <fill>
      <patternFill patternType="none"/>
    </fill>
    <fill>
      <patternFill patternType="gray125"/>
    </fill>
    <fill>
      <patternFill patternType="solid">
        <fgColor indexed="42"/>
        <bgColor indexed="41"/>
      </patternFill>
    </fill>
    <fill>
      <patternFill patternType="solid">
        <fgColor indexed="9"/>
        <bgColor indexed="27"/>
      </patternFill>
    </fill>
    <fill>
      <patternFill patternType="solid">
        <fgColor indexed="55"/>
        <bgColor indexed="46"/>
      </patternFill>
    </fill>
    <fill>
      <patternFill patternType="solid">
        <fgColor indexed="43"/>
        <bgColor indexed="9"/>
      </patternFill>
    </fill>
    <fill>
      <patternFill patternType="solid">
        <fgColor indexed="22"/>
        <bgColor indexed="47"/>
      </patternFill>
    </fill>
    <fill>
      <patternFill patternType="solid">
        <fgColor indexed="57"/>
        <bgColor indexed="21"/>
      </patternFill>
    </fill>
    <fill>
      <patternFill patternType="solid">
        <fgColor indexed="10"/>
        <bgColor indexed="60"/>
      </patternFill>
    </fill>
    <fill>
      <patternFill patternType="solid">
        <fgColor indexed="51"/>
        <bgColor indexed="52"/>
      </patternFill>
    </fill>
    <fill>
      <patternFill patternType="solid">
        <fgColor indexed="49"/>
        <bgColor indexed="24"/>
      </patternFill>
    </fill>
    <fill>
      <patternFill patternType="solid">
        <fgColor indexed="46"/>
        <bgColor indexed="55"/>
      </patternFill>
    </fill>
    <fill>
      <patternFill patternType="solid">
        <fgColor indexed="44"/>
        <bgColor indexed="26"/>
      </patternFill>
    </fill>
    <fill>
      <patternFill patternType="solid">
        <fgColor indexed="54"/>
        <bgColor indexed="62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4" tint="0.59999389629810485"/>
        <bgColor indexed="27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93">
    <border>
      <left/>
      <right/>
      <top/>
      <bottom/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medium">
        <color indexed="8"/>
      </bottom>
      <diagonal/>
    </border>
    <border>
      <left style="double">
        <color indexed="8"/>
      </left>
      <right style="double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3" tint="0.39994506668294322"/>
      </bottom>
      <diagonal/>
    </border>
    <border>
      <left/>
      <right/>
      <top style="medium">
        <color indexed="64"/>
      </top>
      <bottom style="medium">
        <color theme="3" tint="0.39994506668294322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theme="3" tint="0.39994506668294322"/>
      </top>
      <bottom style="medium">
        <color theme="3" tint="0.39994506668294322"/>
      </bottom>
      <diagonal/>
    </border>
    <border>
      <left/>
      <right/>
      <top style="medium">
        <color theme="3" tint="0.39994506668294322"/>
      </top>
      <bottom style="medium">
        <color theme="3" tint="0.39994506668294322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theme="3" tint="0.39994506668294322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auto="1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</borders>
  <cellStyleXfs count="9">
    <xf numFmtId="0" fontId="0" fillId="0" borderId="0"/>
    <xf numFmtId="0" fontId="9" fillId="0" borderId="0"/>
    <xf numFmtId="0" fontId="1" fillId="0" borderId="0"/>
    <xf numFmtId="0" fontId="2" fillId="0" borderId="0"/>
    <xf numFmtId="0" fontId="3" fillId="0" borderId="0"/>
    <xf numFmtId="0" fontId="21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4" fillId="0" borderId="0"/>
  </cellStyleXfs>
  <cellXfs count="149">
    <xf numFmtId="0" fontId="0" fillId="0" borderId="0" xfId="0"/>
    <xf numFmtId="0" fontId="3" fillId="0" borderId="0" xfId="4"/>
    <xf numFmtId="0" fontId="7" fillId="5" borderId="4" xfId="4" applyFont="1" applyFill="1" applyBorder="1" applyAlignment="1">
      <alignment horizontal="center" vertical="center" wrapText="1"/>
    </xf>
    <xf numFmtId="0" fontId="7" fillId="5" borderId="5" xfId="4" applyFont="1" applyFill="1" applyBorder="1" applyAlignment="1">
      <alignment horizontal="center" vertical="center" wrapText="1"/>
    </xf>
    <xf numFmtId="0" fontId="7" fillId="5" borderId="6" xfId="4" applyFont="1" applyFill="1" applyBorder="1" applyAlignment="1">
      <alignment horizontal="center" vertical="center" wrapText="1"/>
    </xf>
    <xf numFmtId="10" fontId="8" fillId="0" borderId="7" xfId="4" applyNumberFormat="1" applyFont="1" applyBorder="1" applyAlignment="1">
      <alignment horizontal="center" vertical="center" wrapText="1"/>
    </xf>
    <xf numFmtId="0" fontId="10" fillId="0" borderId="8" xfId="4" applyFont="1" applyFill="1" applyBorder="1" applyAlignment="1">
      <alignment wrapText="1"/>
    </xf>
    <xf numFmtId="0" fontId="7" fillId="5" borderId="10" xfId="4" applyFont="1" applyFill="1" applyBorder="1" applyAlignment="1">
      <alignment horizontal="center" vertical="center"/>
    </xf>
    <xf numFmtId="10" fontId="7" fillId="5" borderId="10" xfId="4" applyNumberFormat="1" applyFont="1" applyFill="1" applyBorder="1" applyAlignment="1">
      <alignment horizontal="center" vertical="center"/>
    </xf>
    <xf numFmtId="0" fontId="7" fillId="5" borderId="11" xfId="4" applyFont="1" applyFill="1" applyBorder="1" applyAlignment="1">
      <alignment horizontal="center" vertical="center"/>
    </xf>
    <xf numFmtId="0" fontId="3" fillId="0" borderId="0" xfId="4" applyAlignment="1">
      <alignment horizontal="center" vertical="center"/>
    </xf>
    <xf numFmtId="0" fontId="12" fillId="7" borderId="3" xfId="4" applyFont="1" applyFill="1" applyBorder="1" applyAlignment="1">
      <alignment horizontal="center" vertical="center"/>
    </xf>
    <xf numFmtId="0" fontId="12" fillId="8" borderId="3" xfId="4" applyFont="1" applyFill="1" applyBorder="1" applyAlignment="1">
      <alignment horizontal="center" vertical="center"/>
    </xf>
    <xf numFmtId="0" fontId="12" fillId="9" borderId="3" xfId="4" applyFont="1" applyFill="1" applyBorder="1" applyAlignment="1">
      <alignment horizontal="center" vertical="center" wrapText="1"/>
    </xf>
    <xf numFmtId="0" fontId="3" fillId="0" borderId="0" xfId="4" applyFont="1"/>
    <xf numFmtId="0" fontId="13" fillId="3" borderId="12" xfId="4" applyFont="1" applyFill="1" applyBorder="1" applyAlignment="1">
      <alignment horizontal="center" vertical="top"/>
    </xf>
    <xf numFmtId="0" fontId="3" fillId="0" borderId="0" xfId="4" applyAlignment="1" applyProtection="1">
      <alignment horizontal="center" vertical="center" wrapText="1"/>
      <protection locked="0"/>
    </xf>
    <xf numFmtId="0" fontId="3" fillId="0" borderId="0" xfId="4" applyAlignment="1" applyProtection="1">
      <alignment wrapText="1"/>
      <protection locked="0"/>
    </xf>
    <xf numFmtId="0" fontId="3" fillId="0" borderId="0" xfId="4" applyAlignment="1" applyProtection="1">
      <alignment horizontal="center" wrapText="1"/>
      <protection locked="0"/>
    </xf>
    <xf numFmtId="0" fontId="19" fillId="13" borderId="17" xfId="4" applyFont="1" applyFill="1" applyBorder="1"/>
    <xf numFmtId="0" fontId="19" fillId="13" borderId="18" xfId="4" applyFont="1" applyFill="1" applyBorder="1"/>
    <xf numFmtId="0" fontId="19" fillId="13" borderId="19" xfId="4" applyFont="1" applyFill="1" applyBorder="1"/>
    <xf numFmtId="0" fontId="5" fillId="10" borderId="26" xfId="4" applyFont="1" applyFill="1" applyBorder="1" applyAlignment="1" applyProtection="1">
      <alignment horizontal="center" vertical="center" wrapText="1"/>
    </xf>
    <xf numFmtId="0" fontId="5" fillId="10" borderId="27" xfId="4" applyFont="1" applyFill="1" applyBorder="1" applyAlignment="1" applyProtection="1">
      <alignment horizontal="center" vertical="center" wrapText="1"/>
    </xf>
    <xf numFmtId="0" fontId="3" fillId="15" borderId="28" xfId="4" applyFill="1" applyBorder="1" applyAlignment="1" applyProtection="1">
      <alignment wrapText="1"/>
      <protection locked="0"/>
    </xf>
    <xf numFmtId="0" fontId="15" fillId="11" borderId="22" xfId="4" applyFont="1" applyFill="1" applyBorder="1" applyAlignment="1" applyProtection="1">
      <alignment horizontal="center" vertical="center" wrapText="1"/>
    </xf>
    <xf numFmtId="0" fontId="15" fillId="15" borderId="23" xfId="4" applyFont="1" applyFill="1" applyBorder="1" applyAlignment="1" applyProtection="1">
      <alignment horizontal="center" vertical="center" wrapText="1"/>
    </xf>
    <xf numFmtId="0" fontId="1" fillId="17" borderId="32" xfId="4" applyFont="1" applyFill="1" applyBorder="1" applyAlignment="1">
      <alignment vertical="center" wrapText="1"/>
    </xf>
    <xf numFmtId="0" fontId="3" fillId="0" borderId="33" xfId="4" applyFont="1" applyBorder="1" applyAlignment="1" applyProtection="1">
      <alignment horizontal="center" vertical="center" wrapText="1"/>
      <protection locked="0"/>
    </xf>
    <xf numFmtId="0" fontId="3" fillId="0" borderId="34" xfId="4" applyBorder="1" applyAlignment="1" applyProtection="1">
      <alignment wrapText="1"/>
      <protection locked="0"/>
    </xf>
    <xf numFmtId="0" fontId="3" fillId="0" borderId="37" xfId="4" applyBorder="1" applyAlignment="1" applyProtection="1">
      <alignment wrapText="1"/>
      <protection locked="0"/>
    </xf>
    <xf numFmtId="0" fontId="1" fillId="17" borderId="38" xfId="4" applyFont="1" applyFill="1" applyBorder="1" applyAlignment="1">
      <alignment vertical="center" wrapText="1"/>
    </xf>
    <xf numFmtId="0" fontId="3" fillId="0" borderId="39" xfId="4" applyBorder="1" applyAlignment="1" applyProtection="1">
      <alignment wrapText="1"/>
      <protection locked="0"/>
    </xf>
    <xf numFmtId="0" fontId="18" fillId="15" borderId="23" xfId="4" applyFont="1" applyFill="1" applyBorder="1" applyAlignment="1">
      <alignment vertical="center" wrapText="1"/>
    </xf>
    <xf numFmtId="0" fontId="1" fillId="15" borderId="23" xfId="4" applyFont="1" applyFill="1" applyBorder="1" applyAlignment="1">
      <alignment vertical="center" wrapText="1"/>
    </xf>
    <xf numFmtId="0" fontId="3" fillId="15" borderId="23" xfId="4" applyFont="1" applyFill="1" applyBorder="1" applyAlignment="1" applyProtection="1">
      <alignment horizontal="center" vertical="center" wrapText="1"/>
      <protection locked="0"/>
    </xf>
    <xf numFmtId="0" fontId="3" fillId="15" borderId="23" xfId="4" applyFill="1" applyBorder="1" applyAlignment="1" applyProtection="1">
      <alignment wrapText="1"/>
      <protection locked="0"/>
    </xf>
    <xf numFmtId="0" fontId="18" fillId="19" borderId="35" xfId="4" applyFont="1" applyFill="1" applyBorder="1" applyAlignment="1">
      <alignment vertical="center" wrapText="1"/>
    </xf>
    <xf numFmtId="0" fontId="3" fillId="15" borderId="40" xfId="4" applyFill="1" applyBorder="1" applyAlignment="1" applyProtection="1">
      <alignment wrapText="1"/>
      <protection locked="0"/>
    </xf>
    <xf numFmtId="0" fontId="3" fillId="0" borderId="42" xfId="4" applyBorder="1" applyAlignment="1" applyProtection="1">
      <alignment wrapText="1"/>
      <protection locked="0"/>
    </xf>
    <xf numFmtId="10" fontId="30" fillId="0" borderId="25" xfId="0" applyNumberFormat="1" applyFont="1" applyBorder="1" applyAlignment="1">
      <alignment horizontal="center" vertical="center" wrapText="1"/>
    </xf>
    <xf numFmtId="0" fontId="30" fillId="0" borderId="43" xfId="0" applyFont="1" applyBorder="1" applyAlignment="1"/>
    <xf numFmtId="0" fontId="31" fillId="0" borderId="43" xfId="0" applyFont="1" applyFill="1" applyBorder="1" applyAlignment="1">
      <alignment wrapText="1"/>
    </xf>
    <xf numFmtId="0" fontId="8" fillId="0" borderId="8" xfId="4" applyFont="1" applyFill="1" applyBorder="1" applyAlignment="1">
      <alignment wrapText="1"/>
    </xf>
    <xf numFmtId="0" fontId="8" fillId="0" borderId="46" xfId="4" applyFont="1" applyBorder="1" applyAlignment="1">
      <alignment horizontal="center" vertical="center" wrapText="1"/>
    </xf>
    <xf numFmtId="0" fontId="9" fillId="0" borderId="20" xfId="1" applyBorder="1"/>
    <xf numFmtId="0" fontId="7" fillId="5" borderId="48" xfId="4" applyFont="1" applyFill="1" applyBorder="1" applyAlignment="1">
      <alignment horizontal="center" vertical="center" wrapText="1"/>
    </xf>
    <xf numFmtId="14" fontId="30" fillId="0" borderId="20" xfId="0" applyNumberFormat="1" applyFont="1" applyBorder="1" applyAlignment="1">
      <alignment horizontal="center" vertical="center" wrapText="1"/>
    </xf>
    <xf numFmtId="14" fontId="8" fillId="0" borderId="20" xfId="4" applyNumberFormat="1" applyFont="1" applyBorder="1" applyAlignment="1">
      <alignment horizontal="center" vertical="center" wrapText="1"/>
    </xf>
    <xf numFmtId="0" fontId="3" fillId="0" borderId="50" xfId="4" applyFont="1" applyBorder="1" applyAlignment="1" applyProtection="1">
      <alignment horizontal="center" vertical="center" wrapText="1"/>
      <protection locked="0"/>
    </xf>
    <xf numFmtId="0" fontId="3" fillId="0" borderId="51" xfId="4" applyFont="1" applyBorder="1" applyAlignment="1" applyProtection="1">
      <alignment horizontal="center" vertical="center" wrapText="1"/>
      <protection locked="0"/>
    </xf>
    <xf numFmtId="0" fontId="7" fillId="5" borderId="52" xfId="4" applyFont="1" applyFill="1" applyBorder="1" applyAlignment="1">
      <alignment horizontal="center" vertical="center" wrapText="1"/>
    </xf>
    <xf numFmtId="0" fontId="22" fillId="21" borderId="61" xfId="0" applyFont="1" applyFill="1" applyBorder="1" applyProtection="1"/>
    <xf numFmtId="0" fontId="22" fillId="21" borderId="66" xfId="0" applyFont="1" applyFill="1" applyBorder="1" applyAlignment="1" applyProtection="1">
      <alignment wrapText="1"/>
    </xf>
    <xf numFmtId="0" fontId="3" fillId="0" borderId="86" xfId="4" applyBorder="1" applyAlignment="1" applyProtection="1">
      <alignment wrapText="1"/>
      <protection locked="0"/>
    </xf>
    <xf numFmtId="14" fontId="3" fillId="0" borderId="0" xfId="4" applyNumberFormat="1"/>
    <xf numFmtId="0" fontId="30" fillId="0" borderId="25" xfId="0" applyFont="1" applyBorder="1" applyAlignment="1">
      <alignment horizontal="center" vertical="center" wrapText="1"/>
    </xf>
    <xf numFmtId="0" fontId="8" fillId="0" borderId="7" xfId="4" applyFont="1" applyBorder="1" applyAlignment="1">
      <alignment horizontal="center" vertical="center" wrapText="1"/>
    </xf>
    <xf numFmtId="0" fontId="1" fillId="18" borderId="36" xfId="4" applyFont="1" applyFill="1" applyBorder="1" applyAlignment="1">
      <alignment vertical="center" wrapText="1"/>
    </xf>
    <xf numFmtId="0" fontId="30" fillId="0" borderId="87" xfId="0" applyFont="1" applyBorder="1" applyAlignment="1">
      <alignment horizontal="center" vertical="center" wrapText="1"/>
    </xf>
    <xf numFmtId="0" fontId="3" fillId="0" borderId="0" xfId="4" applyAlignment="1">
      <alignment wrapText="1"/>
    </xf>
    <xf numFmtId="0" fontId="8" fillId="0" borderId="89" xfId="4" applyFont="1" applyBorder="1" applyAlignment="1">
      <alignment horizontal="center" vertical="center" wrapText="1"/>
    </xf>
    <xf numFmtId="0" fontId="10" fillId="0" borderId="90" xfId="4" applyFont="1" applyFill="1" applyBorder="1" applyAlignment="1">
      <alignment wrapText="1"/>
    </xf>
    <xf numFmtId="0" fontId="9" fillId="0" borderId="54" xfId="1" applyBorder="1"/>
    <xf numFmtId="0" fontId="18" fillId="12" borderId="35" xfId="4" applyFont="1" applyFill="1" applyBorder="1" applyAlignment="1">
      <alignment vertical="center" wrapText="1"/>
    </xf>
    <xf numFmtId="0" fontId="18" fillId="17" borderId="30" xfId="4" applyFont="1" applyFill="1" applyBorder="1" applyAlignment="1">
      <alignment vertical="center" wrapText="1"/>
    </xf>
    <xf numFmtId="0" fontId="18" fillId="17" borderId="35" xfId="4" applyFont="1" applyFill="1" applyBorder="1" applyAlignment="1">
      <alignment vertical="center" wrapText="1"/>
    </xf>
    <xf numFmtId="0" fontId="1" fillId="17" borderId="31" xfId="4" applyFont="1" applyFill="1" applyBorder="1" applyAlignment="1">
      <alignment vertical="center" wrapText="1"/>
    </xf>
    <xf numFmtId="0" fontId="1" fillId="17" borderId="36" xfId="4" applyFont="1" applyFill="1" applyBorder="1" applyAlignment="1">
      <alignment vertical="center" wrapText="1"/>
    </xf>
    <xf numFmtId="0" fontId="18" fillId="19" borderId="35" xfId="4" applyFont="1" applyFill="1" applyBorder="1" applyAlignment="1">
      <alignment vertical="center" wrapText="1"/>
    </xf>
    <xf numFmtId="0" fontId="18" fillId="18" borderId="35" xfId="4" applyFont="1" applyFill="1" applyBorder="1" applyAlignment="1">
      <alignment vertical="center" wrapText="1"/>
    </xf>
    <xf numFmtId="0" fontId="3" fillId="0" borderId="0" xfId="4" applyFont="1" applyBorder="1" applyAlignment="1" applyProtection="1">
      <alignment horizontal="center" vertical="center" wrapText="1"/>
      <protection locked="0"/>
    </xf>
    <xf numFmtId="0" fontId="3" fillId="0" borderId="0" xfId="4" applyBorder="1" applyAlignment="1" applyProtection="1">
      <alignment wrapText="1"/>
      <protection locked="0"/>
    </xf>
    <xf numFmtId="0" fontId="3" fillId="0" borderId="91" xfId="4" applyFont="1" applyBorder="1" applyAlignment="1" applyProtection="1">
      <alignment horizontal="center" vertical="center" wrapText="1"/>
      <protection locked="0"/>
    </xf>
    <xf numFmtId="0" fontId="3" fillId="0" borderId="88" xfId="4" applyFont="1" applyBorder="1" applyAlignment="1" applyProtection="1">
      <alignment horizontal="center" vertical="center" wrapText="1"/>
      <protection locked="0"/>
    </xf>
    <xf numFmtId="0" fontId="9" fillId="0" borderId="0" xfId="1"/>
    <xf numFmtId="0" fontId="9" fillId="0" borderId="46" xfId="1" applyBorder="1"/>
    <xf numFmtId="0" fontId="9" fillId="0" borderId="49" xfId="1" applyBorder="1"/>
    <xf numFmtId="0" fontId="9" fillId="0" borderId="7" xfId="1" applyBorder="1"/>
    <xf numFmtId="0" fontId="13" fillId="0" borderId="8" xfId="4" applyFont="1" applyFill="1" applyBorder="1" applyAlignment="1">
      <alignment horizontal="center" vertical="top"/>
    </xf>
    <xf numFmtId="0" fontId="12" fillId="0" borderId="9" xfId="4" applyFont="1" applyBorder="1" applyAlignment="1">
      <alignment horizontal="center" vertical="top" wrapText="1"/>
    </xf>
    <xf numFmtId="10" fontId="14" fillId="0" borderId="79" xfId="4" applyNumberFormat="1" applyFont="1" applyFill="1" applyBorder="1" applyAlignment="1">
      <alignment horizontal="center" vertical="top" wrapText="1"/>
    </xf>
    <xf numFmtId="10" fontId="14" fillId="0" borderId="80" xfId="4" applyNumberFormat="1" applyFont="1" applyFill="1" applyBorder="1" applyAlignment="1">
      <alignment horizontal="center" vertical="top" wrapText="1"/>
    </xf>
    <xf numFmtId="10" fontId="14" fillId="0" borderId="81" xfId="4" applyNumberFormat="1" applyFont="1" applyFill="1" applyBorder="1" applyAlignment="1">
      <alignment horizontal="center" vertical="top" wrapText="1"/>
    </xf>
    <xf numFmtId="0" fontId="12" fillId="5" borderId="3" xfId="4" applyFont="1" applyFill="1" applyBorder="1" applyAlignment="1">
      <alignment horizontal="center" vertical="center" wrapText="1"/>
    </xf>
    <xf numFmtId="0" fontId="12" fillId="6" borderId="3" xfId="4" applyFont="1" applyFill="1" applyBorder="1" applyAlignment="1">
      <alignment horizontal="center" vertical="center"/>
    </xf>
    <xf numFmtId="0" fontId="13" fillId="0" borderId="13" xfId="4" applyFont="1" applyFill="1" applyBorder="1" applyAlignment="1">
      <alignment horizontal="center" vertical="top"/>
    </xf>
    <xf numFmtId="0" fontId="34" fillId="21" borderId="69" xfId="0" applyFont="1" applyFill="1" applyBorder="1" applyAlignment="1" applyProtection="1">
      <alignment horizontal="center" vertical="center" wrapText="1"/>
    </xf>
    <xf numFmtId="0" fontId="34" fillId="21" borderId="41" xfId="0" applyFont="1" applyFill="1" applyBorder="1" applyAlignment="1" applyProtection="1">
      <alignment horizontal="center" vertical="center" wrapText="1"/>
    </xf>
    <xf numFmtId="0" fontId="34" fillId="21" borderId="70" xfId="0" applyFont="1" applyFill="1" applyBorder="1" applyAlignment="1" applyProtection="1">
      <alignment horizontal="center" vertical="center" wrapText="1"/>
    </xf>
    <xf numFmtId="0" fontId="34" fillId="21" borderId="76" xfId="0" applyFont="1" applyFill="1" applyBorder="1" applyAlignment="1" applyProtection="1">
      <alignment horizontal="center" vertical="center" wrapText="1"/>
    </xf>
    <xf numFmtId="0" fontId="34" fillId="21" borderId="77" xfId="0" applyFont="1" applyFill="1" applyBorder="1" applyAlignment="1" applyProtection="1">
      <alignment horizontal="center" vertical="center" wrapText="1"/>
    </xf>
    <xf numFmtId="0" fontId="34" fillId="21" borderId="78" xfId="0" applyFont="1" applyFill="1" applyBorder="1" applyAlignment="1" applyProtection="1">
      <alignment horizontal="center" vertical="center" wrapText="1"/>
    </xf>
    <xf numFmtId="0" fontId="6" fillId="4" borderId="14" xfId="4" applyFont="1" applyFill="1" applyBorder="1" applyAlignment="1">
      <alignment horizontal="center"/>
    </xf>
    <xf numFmtId="0" fontId="6" fillId="4" borderId="15" xfId="4" applyFont="1" applyFill="1" applyBorder="1" applyAlignment="1">
      <alignment horizontal="center"/>
    </xf>
    <xf numFmtId="0" fontId="6" fillId="4" borderId="16" xfId="4" applyFont="1" applyFill="1" applyBorder="1" applyAlignment="1">
      <alignment horizontal="center"/>
    </xf>
    <xf numFmtId="0" fontId="7" fillId="5" borderId="44" xfId="4" applyFont="1" applyFill="1" applyBorder="1" applyAlignment="1">
      <alignment horizontal="center" vertical="center"/>
    </xf>
    <xf numFmtId="0" fontId="7" fillId="5" borderId="47" xfId="4" applyFont="1" applyFill="1" applyBorder="1" applyAlignment="1">
      <alignment horizontal="center" vertical="center"/>
    </xf>
    <xf numFmtId="0" fontId="7" fillId="5" borderId="45" xfId="4" applyFont="1" applyFill="1" applyBorder="1" applyAlignment="1">
      <alignment horizontal="center" vertical="center"/>
    </xf>
    <xf numFmtId="0" fontId="11" fillId="6" borderId="3" xfId="4" applyFont="1" applyFill="1" applyBorder="1" applyAlignment="1">
      <alignment horizontal="center" vertical="center"/>
    </xf>
    <xf numFmtId="0" fontId="12" fillId="6" borderId="26" xfId="4" applyFont="1" applyFill="1" applyBorder="1" applyAlignment="1">
      <alignment horizontal="center" vertical="center" wrapText="1"/>
    </xf>
    <xf numFmtId="0" fontId="12" fillId="6" borderId="82" xfId="4" applyFont="1" applyFill="1" applyBorder="1" applyAlignment="1">
      <alignment horizontal="center" vertical="center" wrapText="1"/>
    </xf>
    <xf numFmtId="0" fontId="12" fillId="6" borderId="83" xfId="4" applyFont="1" applyFill="1" applyBorder="1" applyAlignment="1">
      <alignment horizontal="center" vertical="center" wrapText="1"/>
    </xf>
    <xf numFmtId="0" fontId="12" fillId="6" borderId="84" xfId="4" applyFont="1" applyFill="1" applyBorder="1" applyAlignment="1">
      <alignment horizontal="center" vertical="center" wrapText="1"/>
    </xf>
    <xf numFmtId="0" fontId="12" fillId="6" borderId="47" xfId="4" applyFont="1" applyFill="1" applyBorder="1" applyAlignment="1">
      <alignment horizontal="center" vertical="center" wrapText="1"/>
    </xf>
    <xf numFmtId="0" fontId="12" fillId="6" borderId="85" xfId="4" applyFont="1" applyFill="1" applyBorder="1" applyAlignment="1">
      <alignment horizontal="center" vertical="center" wrapText="1"/>
    </xf>
    <xf numFmtId="0" fontId="33" fillId="20" borderId="59" xfId="0" applyFont="1" applyFill="1" applyBorder="1" applyAlignment="1">
      <alignment horizontal="center"/>
    </xf>
    <xf numFmtId="0" fontId="33" fillId="20" borderId="60" xfId="0" applyFont="1" applyFill="1" applyBorder="1" applyAlignment="1">
      <alignment horizontal="center"/>
    </xf>
    <xf numFmtId="0" fontId="33" fillId="20" borderId="75" xfId="0" applyFont="1" applyFill="1" applyBorder="1" applyAlignment="1">
      <alignment horizontal="center"/>
    </xf>
    <xf numFmtId="14" fontId="22" fillId="14" borderId="55" xfId="0" applyNumberFormat="1" applyFont="1" applyFill="1" applyBorder="1" applyAlignment="1" applyProtection="1">
      <alignment horizontal="center" wrapText="1"/>
    </xf>
    <xf numFmtId="0" fontId="22" fillId="14" borderId="67" xfId="0" applyFont="1" applyFill="1" applyBorder="1" applyAlignment="1" applyProtection="1">
      <alignment horizontal="center" wrapText="1"/>
    </xf>
    <xf numFmtId="0" fontId="22" fillId="21" borderId="68" xfId="0" applyFont="1" applyFill="1" applyBorder="1" applyAlignment="1" applyProtection="1">
      <alignment horizontal="left" wrapText="1"/>
    </xf>
    <xf numFmtId="0" fontId="22" fillId="21" borderId="25" xfId="0" applyFont="1" applyFill="1" applyBorder="1" applyAlignment="1" applyProtection="1">
      <alignment horizontal="left" wrapText="1"/>
    </xf>
    <xf numFmtId="14" fontId="22" fillId="14" borderId="54" xfId="0" applyNumberFormat="1" applyFont="1" applyFill="1" applyBorder="1" applyAlignment="1" applyProtection="1">
      <alignment horizontal="center" wrapText="1"/>
    </xf>
    <xf numFmtId="14" fontId="22" fillId="14" borderId="62" xfId="0" applyNumberFormat="1" applyFont="1" applyFill="1" applyBorder="1" applyAlignment="1" applyProtection="1">
      <alignment horizontal="center" wrapText="1"/>
    </xf>
    <xf numFmtId="0" fontId="22" fillId="21" borderId="71" xfId="0" applyFont="1" applyFill="1" applyBorder="1" applyAlignment="1" applyProtection="1">
      <alignment horizontal="left" wrapText="1"/>
    </xf>
    <xf numFmtId="0" fontId="22" fillId="21" borderId="72" xfId="0" applyFont="1" applyFill="1" applyBorder="1" applyAlignment="1" applyProtection="1">
      <alignment horizontal="left" wrapText="1"/>
    </xf>
    <xf numFmtId="14" fontId="22" fillId="14" borderId="73" xfId="0" applyNumberFormat="1" applyFont="1" applyFill="1" applyBorder="1" applyAlignment="1" applyProtection="1">
      <alignment horizontal="center" wrapText="1"/>
    </xf>
    <xf numFmtId="14" fontId="22" fillId="14" borderId="74" xfId="0" applyNumberFormat="1" applyFont="1" applyFill="1" applyBorder="1" applyAlignment="1" applyProtection="1">
      <alignment horizontal="center" wrapText="1"/>
    </xf>
    <xf numFmtId="0" fontId="4" fillId="2" borderId="1" xfId="4" applyFont="1" applyFill="1" applyBorder="1" applyAlignment="1" applyProtection="1">
      <alignment horizontal="center"/>
    </xf>
    <xf numFmtId="0" fontId="4" fillId="2" borderId="2" xfId="4" applyFont="1" applyFill="1" applyBorder="1" applyAlignment="1" applyProtection="1">
      <alignment horizontal="center"/>
    </xf>
    <xf numFmtId="0" fontId="32" fillId="20" borderId="56" xfId="0" applyFont="1" applyFill="1" applyBorder="1" applyAlignment="1" applyProtection="1">
      <alignment horizontal="center"/>
    </xf>
    <xf numFmtId="0" fontId="32" fillId="20" borderId="57" xfId="0" applyFont="1" applyFill="1" applyBorder="1" applyAlignment="1" applyProtection="1">
      <alignment horizontal="center"/>
    </xf>
    <xf numFmtId="0" fontId="32" fillId="20" borderId="58" xfId="0" applyFont="1" applyFill="1" applyBorder="1" applyAlignment="1" applyProtection="1">
      <alignment horizontal="center"/>
    </xf>
    <xf numFmtId="0" fontId="33" fillId="20" borderId="57" xfId="0" applyFont="1" applyFill="1" applyBorder="1" applyAlignment="1">
      <alignment horizontal="center"/>
    </xf>
    <xf numFmtId="0" fontId="33" fillId="20" borderId="58" xfId="0" applyFont="1" applyFill="1" applyBorder="1" applyAlignment="1">
      <alignment horizontal="center"/>
    </xf>
    <xf numFmtId="0" fontId="22" fillId="14" borderId="54" xfId="0" applyFont="1" applyFill="1" applyBorder="1" applyAlignment="1" applyProtection="1">
      <alignment horizontal="center"/>
    </xf>
    <xf numFmtId="0" fontId="22" fillId="14" borderId="62" xfId="0" applyFont="1" applyFill="1" applyBorder="1" applyAlignment="1" applyProtection="1">
      <alignment horizontal="center"/>
    </xf>
    <xf numFmtId="0" fontId="22" fillId="21" borderId="63" xfId="0" applyFont="1" applyFill="1" applyBorder="1" applyAlignment="1" applyProtection="1">
      <alignment horizontal="left" wrapText="1"/>
    </xf>
    <xf numFmtId="0" fontId="22" fillId="21" borderId="64" xfId="0" applyFont="1" applyFill="1" applyBorder="1" applyAlignment="1" applyProtection="1">
      <alignment horizontal="left" wrapText="1"/>
    </xf>
    <xf numFmtId="14" fontId="22" fillId="14" borderId="53" xfId="0" applyNumberFormat="1" applyFont="1" applyFill="1" applyBorder="1" applyAlignment="1" applyProtection="1">
      <alignment horizontal="center" wrapText="1"/>
    </xf>
    <xf numFmtId="14" fontId="22" fillId="14" borderId="65" xfId="0" applyNumberFormat="1" applyFont="1" applyFill="1" applyBorder="1" applyAlignment="1" applyProtection="1">
      <alignment horizontal="center" wrapText="1"/>
    </xf>
    <xf numFmtId="0" fontId="25" fillId="0" borderId="21" xfId="4" applyFont="1" applyBorder="1" applyAlignment="1" applyProtection="1">
      <alignment horizontal="center" vertical="center" wrapText="1"/>
    </xf>
    <xf numFmtId="0" fontId="25" fillId="0" borderId="29" xfId="4" applyFont="1" applyBorder="1" applyAlignment="1" applyProtection="1">
      <alignment horizontal="center" vertical="center" wrapText="1"/>
    </xf>
    <xf numFmtId="0" fontId="26" fillId="16" borderId="23" xfId="4" applyFont="1" applyFill="1" applyBorder="1" applyAlignment="1" applyProtection="1">
      <alignment horizontal="center" vertical="center" wrapText="1"/>
    </xf>
    <xf numFmtId="0" fontId="16" fillId="16" borderId="23" xfId="4" applyFont="1" applyFill="1" applyBorder="1" applyAlignment="1" applyProtection="1">
      <alignment horizontal="center" vertical="center" wrapText="1"/>
    </xf>
    <xf numFmtId="0" fontId="16" fillId="16" borderId="24" xfId="4" applyFont="1" applyFill="1" applyBorder="1" applyAlignment="1" applyProtection="1">
      <alignment horizontal="center" vertical="center" wrapText="1"/>
    </xf>
    <xf numFmtId="0" fontId="26" fillId="0" borderId="22" xfId="4" applyFont="1" applyBorder="1" applyAlignment="1" applyProtection="1">
      <alignment horizontal="left" vertical="center" wrapText="1"/>
    </xf>
    <xf numFmtId="0" fontId="27" fillId="0" borderId="23" xfId="4" applyFont="1" applyBorder="1" applyAlignment="1" applyProtection="1">
      <alignment horizontal="left" vertical="center" wrapText="1"/>
    </xf>
    <xf numFmtId="0" fontId="27" fillId="0" borderId="24" xfId="4" applyFont="1" applyBorder="1" applyAlignment="1" applyProtection="1">
      <alignment horizontal="left" vertical="center" wrapText="1"/>
    </xf>
    <xf numFmtId="0" fontId="15" fillId="11" borderId="23" xfId="4" applyFont="1" applyFill="1" applyBorder="1" applyAlignment="1" applyProtection="1">
      <alignment horizontal="center" vertical="center" wrapText="1"/>
    </xf>
    <xf numFmtId="0" fontId="15" fillId="11" borderId="24" xfId="4" applyFont="1" applyFill="1" applyBorder="1" applyAlignment="1" applyProtection="1">
      <alignment horizontal="center" vertical="center" wrapText="1"/>
    </xf>
    <xf numFmtId="0" fontId="17" fillId="16" borderId="23" xfId="4" applyFont="1" applyFill="1" applyBorder="1" applyAlignment="1" applyProtection="1">
      <alignment horizontal="center" vertical="center" wrapText="1"/>
    </xf>
    <xf numFmtId="0" fontId="17" fillId="16" borderId="24" xfId="4" applyFont="1" applyFill="1" applyBorder="1" applyAlignment="1" applyProtection="1">
      <alignment horizontal="center" vertical="center" wrapText="1"/>
    </xf>
    <xf numFmtId="0" fontId="16" fillId="0" borderId="23" xfId="4" applyFont="1" applyBorder="1" applyAlignment="1" applyProtection="1">
      <alignment horizontal="left" vertical="center" wrapText="1"/>
    </xf>
    <xf numFmtId="0" fontId="16" fillId="0" borderId="24" xfId="4" applyFont="1" applyBorder="1" applyAlignment="1" applyProtection="1">
      <alignment horizontal="left" vertical="center" wrapText="1"/>
    </xf>
    <xf numFmtId="0" fontId="3" fillId="0" borderId="12" xfId="4" applyFont="1" applyBorder="1" applyAlignment="1" applyProtection="1">
      <alignment horizontal="center" vertical="center" wrapText="1"/>
      <protection locked="0"/>
    </xf>
    <xf numFmtId="0" fontId="3" fillId="0" borderId="92" xfId="4" applyBorder="1" applyAlignment="1" applyProtection="1">
      <alignment wrapText="1"/>
      <protection locked="0"/>
    </xf>
    <xf numFmtId="0" fontId="9" fillId="0" borderId="0" xfId="1" quotePrefix="1"/>
  </cellXfs>
  <cellStyles count="9">
    <cellStyle name="Excel Built-in Normal" xfId="4"/>
    <cellStyle name="Hyperlink 2" xfId="6"/>
    <cellStyle name="Normal 2" xfId="2"/>
    <cellStyle name="Normal 2 2" xfId="7"/>
    <cellStyle name="Normal 3" xfId="3"/>
    <cellStyle name="Normal 3 2" xfId="8"/>
    <cellStyle name="Normal 4" xfId="5"/>
    <cellStyle name="常规" xfId="0" builtinId="0"/>
    <cellStyle name="超链接" xfId="1" builtinId="8"/>
  </cellStyles>
  <dxfs count="40"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7BA0CD"/>
      <rgbColor rgb="008EB4E3"/>
      <rgbColor rgb="00993366"/>
      <rgbColor rgb="00B9CDE5"/>
      <rgbColor rgb="00DBE5F1"/>
      <rgbColor rgb="00660066"/>
      <rgbColor rgb="00FF8080"/>
      <rgbColor rgb="000066CC"/>
      <rgbColor rgb="00C6D9F1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3DFEE"/>
      <rgbColor rgb="00D9D9D9"/>
      <rgbColor rgb="00FFFF99"/>
      <rgbColor rgb="00B8CCE4"/>
      <rgbColor rgb="00FF99CC"/>
      <rgbColor rgb="00A6A6A6"/>
      <rgbColor rgb="00C1C1C1"/>
      <rgbColor rgb="003366FF"/>
      <rgbColor rgb="0095B3D7"/>
      <rgbColor rgb="0099CC00"/>
      <rgbColor rgb="00FFC000"/>
      <rgbColor rgb="00FF9900"/>
      <rgbColor rgb="00FF6600"/>
      <rgbColor rgb="00376092"/>
      <rgbColor rgb="00969696"/>
      <rgbColor rgb="00002060"/>
      <rgbColor rgb="0000B050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YED6/AppData/Local/Microsoft/Windows/Temporary%20Internet%20Files/Content.IE5/GJ7EDMWA/nva/Desktop/MA%20-%20JIRA%20Tools/FordSync_CM_Hardware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Hardware Glossary"/>
      <sheetName val="Hardware Total"/>
      <sheetName val="Hardware Report"/>
      <sheetName val="Phones (Erlangen)"/>
      <sheetName val="Orders"/>
      <sheetName val="Lookups"/>
      <sheetName val="Not Fou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53"/>
  <sheetViews>
    <sheetView tabSelected="1" topLeftCell="A37" zoomScale="90" zoomScaleNormal="90" workbookViewId="0">
      <selection activeCell="C55" sqref="C55"/>
    </sheetView>
  </sheetViews>
  <sheetFormatPr defaultColWidth="8.7109375" defaultRowHeight="15" x14ac:dyDescent="0.25"/>
  <cols>
    <col min="1" max="1" width="2.5703125" style="1" customWidth="1"/>
    <col min="2" max="2" width="12.5703125" style="1" customWidth="1"/>
    <col min="3" max="3" width="52.28515625" style="1" customWidth="1"/>
    <col min="4" max="4" width="33.28515625" style="1" customWidth="1"/>
    <col min="5" max="5" width="9.140625" style="1" customWidth="1"/>
    <col min="6" max="6" width="11.7109375" style="1" customWidth="1"/>
    <col min="7" max="7" width="16.5703125" style="1" customWidth="1"/>
    <col min="8" max="8" width="14.7109375" style="1" customWidth="1"/>
    <col min="9" max="9" width="10.7109375" style="1" customWidth="1"/>
    <col min="10" max="10" width="11.7109375" style="1" customWidth="1"/>
    <col min="11" max="11" width="10.7109375" style="1" customWidth="1"/>
    <col min="12" max="16384" width="8.7109375" style="1"/>
  </cols>
  <sheetData>
    <row r="2" spans="3:11" ht="26.25" x14ac:dyDescent="0.4">
      <c r="C2" s="119" t="s">
        <v>34</v>
      </c>
      <c r="D2" s="119"/>
      <c r="E2" s="119"/>
    </row>
    <row r="3" spans="3:11" ht="26.25" x14ac:dyDescent="0.4">
      <c r="C3" s="120" t="s">
        <v>35</v>
      </c>
      <c r="D3" s="120"/>
      <c r="E3" s="120"/>
    </row>
    <row r="4" spans="3:11" ht="16.5" thickTop="1" thickBot="1" x14ac:dyDescent="0.3"/>
    <row r="5" spans="3:11" ht="20.25" thickTop="1" thickBot="1" x14ac:dyDescent="0.3">
      <c r="C5" s="121" t="s">
        <v>54</v>
      </c>
      <c r="D5" s="122"/>
      <c r="E5" s="123"/>
      <c r="F5"/>
      <c r="G5" s="106" t="s">
        <v>56</v>
      </c>
      <c r="H5" s="107"/>
      <c r="I5" s="124"/>
      <c r="J5" s="124"/>
      <c r="K5" s="125"/>
    </row>
    <row r="6" spans="3:11" ht="15.75" customHeight="1" x14ac:dyDescent="0.25">
      <c r="C6" s="52" t="s">
        <v>58</v>
      </c>
      <c r="D6" s="126" t="s">
        <v>60</v>
      </c>
      <c r="E6" s="127"/>
      <c r="F6"/>
      <c r="G6" s="128" t="s">
        <v>0</v>
      </c>
      <c r="H6" s="129"/>
      <c r="I6" s="130"/>
      <c r="J6" s="130"/>
      <c r="K6" s="131"/>
    </row>
    <row r="7" spans="3:11" ht="16.149999999999999" customHeight="1" thickBot="1" x14ac:dyDescent="0.3">
      <c r="C7" s="53" t="s">
        <v>59</v>
      </c>
      <c r="D7" s="109"/>
      <c r="E7" s="110"/>
      <c r="F7"/>
      <c r="G7" s="111" t="s">
        <v>1</v>
      </c>
      <c r="H7" s="112"/>
      <c r="I7" s="113"/>
      <c r="J7" s="113"/>
      <c r="K7" s="114"/>
    </row>
    <row r="8" spans="3:11" ht="19.5" customHeight="1" thickBot="1" x14ac:dyDescent="0.3">
      <c r="F8"/>
      <c r="G8" s="115" t="s">
        <v>57</v>
      </c>
      <c r="H8" s="116"/>
      <c r="I8" s="117"/>
      <c r="J8" s="117"/>
      <c r="K8" s="118"/>
    </row>
    <row r="9" spans="3:11" ht="16.5" thickTop="1" thickBot="1" x14ac:dyDescent="0.3">
      <c r="F9"/>
      <c r="G9"/>
      <c r="H9"/>
      <c r="I9"/>
      <c r="J9"/>
      <c r="K9"/>
    </row>
    <row r="10" spans="3:11" ht="20.25" thickTop="1" thickBot="1" x14ac:dyDescent="0.3">
      <c r="F10"/>
      <c r="G10" s="106" t="s">
        <v>55</v>
      </c>
      <c r="H10" s="107"/>
      <c r="I10" s="107"/>
      <c r="J10" s="107"/>
      <c r="K10" s="108"/>
    </row>
    <row r="11" spans="3:11" ht="15.6" customHeight="1" x14ac:dyDescent="0.25">
      <c r="F11"/>
      <c r="G11" s="87"/>
      <c r="H11" s="88"/>
      <c r="I11" s="88"/>
      <c r="J11" s="88"/>
      <c r="K11" s="89"/>
    </row>
    <row r="12" spans="3:11" ht="16.149999999999999" customHeight="1" thickBot="1" x14ac:dyDescent="0.3">
      <c r="F12"/>
      <c r="G12" s="90"/>
      <c r="H12" s="91"/>
      <c r="I12" s="91"/>
      <c r="J12" s="91"/>
      <c r="K12" s="92"/>
    </row>
    <row r="13" spans="3:11" ht="16.149999999999999" customHeight="1" thickTop="1" x14ac:dyDescent="0.25">
      <c r="F13"/>
      <c r="G13"/>
      <c r="H13"/>
      <c r="I13"/>
      <c r="J13"/>
      <c r="K13"/>
    </row>
    <row r="14" spans="3:11" ht="16.149999999999999" customHeight="1" x14ac:dyDescent="0.25">
      <c r="F14"/>
      <c r="G14"/>
      <c r="H14"/>
      <c r="I14"/>
      <c r="J14"/>
      <c r="K14"/>
    </row>
    <row r="16" spans="3:11" ht="15.75" thickBot="1" x14ac:dyDescent="0.3"/>
    <row r="17" spans="2:11" ht="21" thickBot="1" x14ac:dyDescent="0.35">
      <c r="B17" s="93" t="s">
        <v>2</v>
      </c>
      <c r="C17" s="94"/>
      <c r="D17" s="94"/>
      <c r="E17" s="94"/>
      <c r="F17" s="94"/>
      <c r="G17" s="94"/>
      <c r="H17" s="94"/>
      <c r="I17" s="94"/>
      <c r="J17" s="94"/>
      <c r="K17" s="95"/>
    </row>
    <row r="18" spans="2:11" ht="36" x14ac:dyDescent="0.25">
      <c r="B18" s="2" t="s">
        <v>3</v>
      </c>
      <c r="C18" s="51" t="s">
        <v>4</v>
      </c>
      <c r="D18" s="46" t="s">
        <v>5</v>
      </c>
      <c r="E18" s="3" t="s">
        <v>6</v>
      </c>
      <c r="F18" s="3" t="s">
        <v>7</v>
      </c>
      <c r="G18" s="3" t="s">
        <v>8</v>
      </c>
      <c r="H18" s="3" t="s">
        <v>9</v>
      </c>
      <c r="I18" s="3" t="s">
        <v>10</v>
      </c>
      <c r="J18" s="3" t="s">
        <v>11</v>
      </c>
      <c r="K18" s="4" t="s">
        <v>12</v>
      </c>
    </row>
    <row r="19" spans="2:11" x14ac:dyDescent="0.25">
      <c r="B19" s="59">
        <v>1</v>
      </c>
      <c r="C19" s="75" t="s">
        <v>52</v>
      </c>
      <c r="D19" s="47">
        <v>43199</v>
      </c>
      <c r="E19" s="56">
        <f>SUM(I34:J39)</f>
        <v>10</v>
      </c>
      <c r="F19" s="56">
        <f>SUM(G34:G39)</f>
        <v>0</v>
      </c>
      <c r="G19" s="56">
        <f>SUM(E34:E39)</f>
        <v>10</v>
      </c>
      <c r="H19" s="56">
        <f>SUM(F34:F39)</f>
        <v>0</v>
      </c>
      <c r="I19" s="56">
        <f>SUM(H34:H39)</f>
        <v>0</v>
      </c>
      <c r="J19" s="40">
        <f t="shared" ref="J19:J20" si="0">G19/(E19-I19)</f>
        <v>1</v>
      </c>
      <c r="K19" s="41"/>
    </row>
    <row r="20" spans="2:11" ht="16.5" x14ac:dyDescent="0.35">
      <c r="B20" s="59">
        <v>2</v>
      </c>
      <c r="C20" s="148" t="s">
        <v>67</v>
      </c>
      <c r="D20" s="47">
        <v>43200</v>
      </c>
      <c r="E20" s="56">
        <f>SUM(I47:J52)</f>
        <v>4</v>
      </c>
      <c r="F20" s="56">
        <f>SUM(G47:G52)</f>
        <v>0</v>
      </c>
      <c r="G20" s="56">
        <f>SUM(E47:E52)</f>
        <v>4</v>
      </c>
      <c r="H20" s="56">
        <f>SUM(F47:F52)</f>
        <v>0</v>
      </c>
      <c r="I20" s="56">
        <f>SUM(H47:H52)</f>
        <v>0</v>
      </c>
      <c r="J20" s="40">
        <f t="shared" si="0"/>
        <v>1</v>
      </c>
      <c r="K20" s="42"/>
    </row>
    <row r="21" spans="2:11" x14ac:dyDescent="0.25">
      <c r="B21" s="44">
        <v>3</v>
      </c>
      <c r="C21" s="45"/>
      <c r="D21" s="48"/>
      <c r="E21" s="57"/>
      <c r="F21" s="57"/>
      <c r="G21" s="57"/>
      <c r="H21" s="57"/>
      <c r="I21" s="57"/>
      <c r="J21" s="5"/>
      <c r="K21" s="43"/>
    </row>
    <row r="22" spans="2:11" ht="16.5" x14ac:dyDescent="0.35">
      <c r="B22" s="44">
        <v>4</v>
      </c>
      <c r="C22" s="45"/>
      <c r="D22" s="48"/>
      <c r="E22" s="57"/>
      <c r="F22" s="57"/>
      <c r="G22" s="57"/>
      <c r="H22" s="57"/>
      <c r="I22" s="57"/>
      <c r="J22" s="5"/>
      <c r="K22" s="6"/>
    </row>
    <row r="23" spans="2:11" ht="16.5" x14ac:dyDescent="0.35">
      <c r="B23" s="44">
        <v>5</v>
      </c>
      <c r="C23" s="45"/>
      <c r="D23" s="48"/>
      <c r="E23" s="57"/>
      <c r="F23" s="57"/>
      <c r="G23" s="57"/>
      <c r="H23" s="57"/>
      <c r="I23" s="57"/>
      <c r="J23" s="5"/>
      <c r="K23" s="6"/>
    </row>
    <row r="24" spans="2:11" ht="16.5" x14ac:dyDescent="0.35">
      <c r="B24" s="44">
        <v>6</v>
      </c>
      <c r="C24" s="45"/>
      <c r="D24" s="48"/>
      <c r="E24" s="57"/>
      <c r="F24" s="57"/>
      <c r="G24" s="57"/>
      <c r="H24" s="57"/>
      <c r="I24" s="57"/>
      <c r="J24" s="5"/>
      <c r="K24" s="6"/>
    </row>
    <row r="25" spans="2:11" ht="16.5" x14ac:dyDescent="0.35">
      <c r="B25" s="61">
        <v>7</v>
      </c>
      <c r="C25" s="63"/>
      <c r="D25" s="48"/>
      <c r="E25" s="57"/>
      <c r="F25" s="57"/>
      <c r="G25" s="57"/>
      <c r="H25" s="57"/>
      <c r="I25" s="57"/>
      <c r="J25" s="5"/>
      <c r="K25" s="62"/>
    </row>
    <row r="26" spans="2:11" ht="15.75" thickBot="1" x14ac:dyDescent="0.3">
      <c r="B26" s="96" t="s">
        <v>13</v>
      </c>
      <c r="C26" s="97"/>
      <c r="D26" s="98"/>
      <c r="E26" s="7">
        <f>SUM(E19:E24)</f>
        <v>14</v>
      </c>
      <c r="F26" s="7">
        <f>SUM(F19:F24)</f>
        <v>0</v>
      </c>
      <c r="G26" s="7">
        <f>SUM(G19:G24)</f>
        <v>14</v>
      </c>
      <c r="H26" s="7">
        <f>SUM(H19:H24)</f>
        <v>0</v>
      </c>
      <c r="I26" s="7">
        <f>SUM(I19:I24)</f>
        <v>0</v>
      </c>
      <c r="J26" s="8">
        <f>G26/(E26-I26)</f>
        <v>1</v>
      </c>
      <c r="K26" s="9"/>
    </row>
    <row r="30" spans="2:11" ht="21" thickBot="1" x14ac:dyDescent="0.35">
      <c r="B30" s="93" t="s">
        <v>14</v>
      </c>
      <c r="C30" s="94"/>
      <c r="D30" s="94"/>
      <c r="E30" s="94"/>
      <c r="F30" s="94"/>
      <c r="G30" s="94"/>
      <c r="H30" s="94"/>
      <c r="I30" s="94"/>
      <c r="J30" s="95"/>
    </row>
    <row r="31" spans="2:11" ht="14.45" customHeight="1" thickBot="1" x14ac:dyDescent="0.3">
      <c r="B31" s="99" t="s">
        <v>66</v>
      </c>
      <c r="C31" s="99"/>
      <c r="D31" s="99"/>
      <c r="E31" s="100" t="s">
        <v>15</v>
      </c>
      <c r="F31" s="101"/>
      <c r="G31" s="101"/>
      <c r="H31" s="101"/>
      <c r="I31" s="101"/>
      <c r="J31" s="102"/>
    </row>
    <row r="32" spans="2:11" ht="15.75" thickBot="1" x14ac:dyDescent="0.3">
      <c r="B32" s="99"/>
      <c r="C32" s="99"/>
      <c r="D32" s="99"/>
      <c r="E32" s="103"/>
      <c r="F32" s="104"/>
      <c r="G32" s="104"/>
      <c r="H32" s="104"/>
      <c r="I32" s="104"/>
      <c r="J32" s="105"/>
    </row>
    <row r="33" spans="2:10" s="10" customFormat="1" ht="34.9" customHeight="1" thickBot="1" x14ac:dyDescent="0.25">
      <c r="B33" s="84" t="s">
        <v>16</v>
      </c>
      <c r="C33" s="84"/>
      <c r="D33" s="84"/>
      <c r="E33" s="11" t="s">
        <v>17</v>
      </c>
      <c r="F33" s="12" t="s">
        <v>18</v>
      </c>
      <c r="G33" s="13" t="s">
        <v>19</v>
      </c>
      <c r="H33" s="13" t="s">
        <v>20</v>
      </c>
      <c r="I33" s="85" t="s">
        <v>21</v>
      </c>
      <c r="J33" s="85"/>
    </row>
    <row r="34" spans="2:10" s="14" customFormat="1" x14ac:dyDescent="0.25">
      <c r="B34" s="76" t="s">
        <v>53</v>
      </c>
      <c r="C34" s="77"/>
      <c r="D34" s="78"/>
      <c r="E34" s="15">
        <f>COUNTIF(OnSoftBtnClicked!$D$4:$D$10, "Pass")</f>
        <v>5</v>
      </c>
      <c r="F34" s="15">
        <f>COUNTIF(OnSoftBtnClicked!$D$4:$D$8, "Fail")</f>
        <v>0</v>
      </c>
      <c r="G34" s="15">
        <f>COUNTIF(OnSoftBtnClicked!$D$4:$D$8, "Not Executed")</f>
        <v>0</v>
      </c>
      <c r="H34" s="15">
        <f>COUNTIF(OnSoftBtnClicked!$D$4:$D$8, "Not Applicable")</f>
        <v>0</v>
      </c>
      <c r="I34" s="86">
        <f t="shared" ref="I34:I35" si="1">SUM(E34:H34)</f>
        <v>5</v>
      </c>
      <c r="J34" s="86"/>
    </row>
    <row r="35" spans="2:10" s="14" customFormat="1" x14ac:dyDescent="0.25">
      <c r="B35" s="76" t="s">
        <v>64</v>
      </c>
      <c r="C35" s="77"/>
      <c r="D35" s="78"/>
      <c r="E35" s="15">
        <f>COUNTIF(OnSoftBtnClicked!$D$12:$D$18, "Pass")</f>
        <v>5</v>
      </c>
      <c r="F35" s="15">
        <f>COUNTIF(OnSoftBtnClicked!$D$12:$D$18, "Fail")</f>
        <v>0</v>
      </c>
      <c r="G35" s="15">
        <f>COUNTIF(OnSoftBtnClicked!$D$12:$D$18, "Not Executed")</f>
        <v>0</v>
      </c>
      <c r="H35" s="15">
        <f>COUNTIF(OnSoftBtnClicked!$D$12:$D$18, "Not Applicable")</f>
        <v>0</v>
      </c>
      <c r="I35" s="79">
        <f t="shared" si="1"/>
        <v>5</v>
      </c>
      <c r="J35" s="79"/>
    </row>
    <row r="36" spans="2:10" s="14" customFormat="1" x14ac:dyDescent="0.25">
      <c r="B36" s="76" t="s">
        <v>65</v>
      </c>
      <c r="C36" s="77"/>
      <c r="D36" s="78"/>
      <c r="E36" s="15"/>
      <c r="F36" s="15"/>
      <c r="G36" s="15"/>
      <c r="H36" s="15"/>
      <c r="I36" s="79"/>
      <c r="J36" s="79"/>
    </row>
    <row r="37" spans="2:10" s="14" customFormat="1" x14ac:dyDescent="0.25">
      <c r="B37" s="76"/>
      <c r="C37" s="77"/>
      <c r="D37" s="78"/>
      <c r="E37" s="15"/>
      <c r="F37" s="15"/>
      <c r="G37" s="15"/>
      <c r="H37" s="15"/>
      <c r="I37" s="79"/>
      <c r="J37" s="79"/>
    </row>
    <row r="38" spans="2:10" s="14" customFormat="1" x14ac:dyDescent="0.25">
      <c r="B38" s="76"/>
      <c r="C38" s="77"/>
      <c r="D38" s="78"/>
      <c r="E38" s="15"/>
      <c r="F38" s="15"/>
      <c r="G38" s="15"/>
      <c r="H38" s="15"/>
      <c r="I38" s="79"/>
      <c r="J38" s="79"/>
    </row>
    <row r="39" spans="2:10" s="14" customFormat="1" x14ac:dyDescent="0.25">
      <c r="B39" s="76"/>
      <c r="C39" s="77"/>
      <c r="D39" s="78"/>
      <c r="E39" s="15"/>
      <c r="F39" s="15"/>
      <c r="G39" s="15"/>
      <c r="H39" s="15"/>
      <c r="I39" s="79"/>
      <c r="J39" s="79"/>
    </row>
    <row r="40" spans="2:10" ht="15.75" customHeight="1" thickBot="1" x14ac:dyDescent="0.3">
      <c r="B40" s="80" t="s">
        <v>61</v>
      </c>
      <c r="C40" s="80"/>
      <c r="D40" s="80"/>
      <c r="E40" s="81">
        <f>IF(SUM(I34:J39)=0,0,SUM(E34:E39)/(SUM(I34:J39)-SUM(H34:H39)))</f>
        <v>1</v>
      </c>
      <c r="F40" s="82"/>
      <c r="G40" s="82"/>
      <c r="H40" s="82"/>
      <c r="I40" s="82"/>
      <c r="J40" s="83"/>
    </row>
    <row r="42" spans="2:10" ht="15.75" thickBot="1" x14ac:dyDescent="0.3"/>
    <row r="43" spans="2:10" ht="21" thickBot="1" x14ac:dyDescent="0.35">
      <c r="B43" s="93" t="s">
        <v>14</v>
      </c>
      <c r="C43" s="94"/>
      <c r="D43" s="94"/>
      <c r="E43" s="94"/>
      <c r="F43" s="94"/>
      <c r="G43" s="94"/>
      <c r="H43" s="94"/>
      <c r="I43" s="94"/>
      <c r="J43" s="95"/>
    </row>
    <row r="44" spans="2:10" ht="15.75" thickBot="1" x14ac:dyDescent="0.3">
      <c r="B44" s="99" t="s">
        <v>89</v>
      </c>
      <c r="C44" s="99"/>
      <c r="D44" s="99"/>
      <c r="E44" s="100" t="s">
        <v>15</v>
      </c>
      <c r="F44" s="101"/>
      <c r="G44" s="101"/>
      <c r="H44" s="101"/>
      <c r="I44" s="101"/>
      <c r="J44" s="102"/>
    </row>
    <row r="45" spans="2:10" ht="15.75" thickBot="1" x14ac:dyDescent="0.3">
      <c r="B45" s="99"/>
      <c r="C45" s="99"/>
      <c r="D45" s="99"/>
      <c r="E45" s="103"/>
      <c r="F45" s="104"/>
      <c r="G45" s="104"/>
      <c r="H45" s="104"/>
      <c r="I45" s="104"/>
      <c r="J45" s="105"/>
    </row>
    <row r="46" spans="2:10" ht="26.25" thickBot="1" x14ac:dyDescent="0.3">
      <c r="B46" s="84" t="s">
        <v>16</v>
      </c>
      <c r="C46" s="84"/>
      <c r="D46" s="84"/>
      <c r="E46" s="11" t="s">
        <v>17</v>
      </c>
      <c r="F46" s="12" t="s">
        <v>18</v>
      </c>
      <c r="G46" s="13" t="s">
        <v>19</v>
      </c>
      <c r="H46" s="13" t="s">
        <v>20</v>
      </c>
      <c r="I46" s="85" t="s">
        <v>21</v>
      </c>
      <c r="J46" s="85"/>
    </row>
    <row r="47" spans="2:10" x14ac:dyDescent="0.25">
      <c r="B47" s="76" t="s">
        <v>68</v>
      </c>
      <c r="C47" s="77"/>
      <c r="D47" s="78"/>
      <c r="E47" s="15">
        <f>COUNTIF(OnTimeOut!$D$4:$D$9, "Pass")</f>
        <v>4</v>
      </c>
      <c r="F47" s="15">
        <f>COUNTIF(OnSoftBtnClicked!$D$4:$D$8, "Fail")</f>
        <v>0</v>
      </c>
      <c r="G47" s="15">
        <f>COUNTIF(OnSoftBtnClicked!$D$4:$D$8, "Not Executed")</f>
        <v>0</v>
      </c>
      <c r="H47" s="15">
        <f>COUNTIF(OnSoftBtnClicked!$D$4:$D$8, "Not Applicable")</f>
        <v>0</v>
      </c>
      <c r="I47" s="86">
        <f t="shared" ref="I47:I48" si="2">SUM(E47:H47)</f>
        <v>4</v>
      </c>
      <c r="J47" s="86"/>
    </row>
    <row r="48" spans="2:10" x14ac:dyDescent="0.25">
      <c r="B48" s="76"/>
      <c r="C48" s="77"/>
      <c r="D48" s="78"/>
      <c r="E48" s="15"/>
      <c r="F48" s="15"/>
      <c r="G48" s="15"/>
      <c r="H48" s="15"/>
      <c r="I48" s="79"/>
      <c r="J48" s="79"/>
    </row>
    <row r="49" spans="2:10" x14ac:dyDescent="0.25">
      <c r="B49" s="76"/>
      <c r="C49" s="77"/>
      <c r="D49" s="78"/>
      <c r="E49" s="15"/>
      <c r="F49" s="15"/>
      <c r="G49" s="15"/>
      <c r="H49" s="15"/>
      <c r="I49" s="79"/>
      <c r="J49" s="79"/>
    </row>
    <row r="50" spans="2:10" x14ac:dyDescent="0.25">
      <c r="B50" s="76"/>
      <c r="C50" s="77"/>
      <c r="D50" s="78"/>
      <c r="E50" s="15"/>
      <c r="F50" s="15"/>
      <c r="G50" s="15"/>
      <c r="H50" s="15"/>
      <c r="I50" s="79"/>
      <c r="J50" s="79"/>
    </row>
    <row r="51" spans="2:10" x14ac:dyDescent="0.25">
      <c r="B51" s="76"/>
      <c r="C51" s="77"/>
      <c r="D51" s="78"/>
      <c r="E51" s="15"/>
      <c r="F51" s="15"/>
      <c r="G51" s="15"/>
      <c r="H51" s="15"/>
      <c r="I51" s="79"/>
      <c r="J51" s="79"/>
    </row>
    <row r="52" spans="2:10" x14ac:dyDescent="0.25">
      <c r="B52" s="76"/>
      <c r="C52" s="77"/>
      <c r="D52" s="78"/>
      <c r="E52" s="15"/>
      <c r="F52" s="15"/>
      <c r="G52" s="15"/>
      <c r="H52" s="15"/>
      <c r="I52" s="79"/>
      <c r="J52" s="79"/>
    </row>
    <row r="53" spans="2:10" ht="15.75" thickBot="1" x14ac:dyDescent="0.3">
      <c r="B53" s="80" t="s">
        <v>61</v>
      </c>
      <c r="C53" s="80"/>
      <c r="D53" s="80"/>
      <c r="E53" s="81">
        <f>IF(SUM(I47:J52)=0,0,SUM(E47:E52)/(SUM(I47:J52)-SUM(H47:H52)))</f>
        <v>1</v>
      </c>
      <c r="F53" s="82"/>
      <c r="G53" s="82"/>
      <c r="H53" s="82"/>
      <c r="I53" s="82"/>
      <c r="J53" s="83"/>
    </row>
  </sheetData>
  <sheetProtection selectLockedCells="1" selectUnlockedCells="1"/>
  <mergeCells count="54">
    <mergeCell ref="B53:D53"/>
    <mergeCell ref="E53:J53"/>
    <mergeCell ref="B50:D50"/>
    <mergeCell ref="I50:J50"/>
    <mergeCell ref="B51:D51"/>
    <mergeCell ref="I51:J51"/>
    <mergeCell ref="B52:D52"/>
    <mergeCell ref="I52:J52"/>
    <mergeCell ref="B47:D47"/>
    <mergeCell ref="I47:J47"/>
    <mergeCell ref="B48:D48"/>
    <mergeCell ref="I48:J48"/>
    <mergeCell ref="B49:D49"/>
    <mergeCell ref="I49:J49"/>
    <mergeCell ref="B43:J43"/>
    <mergeCell ref="B44:D45"/>
    <mergeCell ref="E44:J45"/>
    <mergeCell ref="B46:D46"/>
    <mergeCell ref="I46:J46"/>
    <mergeCell ref="C2:E2"/>
    <mergeCell ref="C3:E3"/>
    <mergeCell ref="C5:E5"/>
    <mergeCell ref="G5:K5"/>
    <mergeCell ref="D6:E6"/>
    <mergeCell ref="G6:H6"/>
    <mergeCell ref="I6:K6"/>
    <mergeCell ref="G10:K10"/>
    <mergeCell ref="D7:E7"/>
    <mergeCell ref="G7:H7"/>
    <mergeCell ref="I7:K7"/>
    <mergeCell ref="G8:H8"/>
    <mergeCell ref="I8:K8"/>
    <mergeCell ref="G11:K12"/>
    <mergeCell ref="B36:D36"/>
    <mergeCell ref="I36:J36"/>
    <mergeCell ref="B37:D37"/>
    <mergeCell ref="I37:J37"/>
    <mergeCell ref="B17:K17"/>
    <mergeCell ref="B26:D26"/>
    <mergeCell ref="B30:J30"/>
    <mergeCell ref="B31:D32"/>
    <mergeCell ref="E31:J32"/>
    <mergeCell ref="B33:D33"/>
    <mergeCell ref="I33:J33"/>
    <mergeCell ref="B34:D34"/>
    <mergeCell ref="I34:J34"/>
    <mergeCell ref="B35:D35"/>
    <mergeCell ref="I35:J35"/>
    <mergeCell ref="B39:D39"/>
    <mergeCell ref="I39:J39"/>
    <mergeCell ref="B40:D40"/>
    <mergeCell ref="E40:J40"/>
    <mergeCell ref="B38:D38"/>
    <mergeCell ref="I38:J38"/>
  </mergeCells>
  <phoneticPr fontId="35" type="noConversion"/>
  <hyperlinks>
    <hyperlink ref="B34" location="'4!1 PHONE NOT PAIRED'.A3" display="4.1.1 Phone not paired and app running"/>
    <hyperlink ref="B35" location="'4!1 PHONE NOT PAIRED'.A12" display="4.1.2 Phone not paired and app not running, Phone OFF"/>
    <hyperlink ref="C19" location="OnSoftBtnClicked!A1" display="1.1 OnSoftBtnClicked"/>
    <hyperlink ref="B34:D34" location="OnSoftBtnClicked!A4" display="1.1.1 OnSoftBtnClicked_Normal"/>
    <hyperlink ref="B35:D35" location="OnSoftBtnClicked!A12" display="1.1.2 OnSoftBtnClicked_NoId"/>
    <hyperlink ref="B47:D47" location="OnTimeOut!A1" display="1.2.1 OnTimeOut"/>
    <hyperlink ref="B36:D36" location="OnSoftBtnClicked!A20" display="1.1.3 OnSoftBtnClicked_sendNotification"/>
    <hyperlink ref="C20" location="OnTimeOut!A1" display="1.2 OnTimeOut"/>
  </hyperlink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29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cols>
    <col min="1" max="1" width="9.7109375" style="18" customWidth="1"/>
    <col min="2" max="2" width="96.7109375" style="17" customWidth="1"/>
    <col min="3" max="3" width="68.85546875" style="17" customWidth="1"/>
    <col min="4" max="4" width="17.7109375" style="16" customWidth="1"/>
    <col min="5" max="5" width="54.7109375" style="17" customWidth="1"/>
    <col min="6" max="16384" width="9.140625" style="17"/>
  </cols>
  <sheetData>
    <row r="1" spans="1:6" ht="16.5" thickBot="1" x14ac:dyDescent="0.3">
      <c r="A1" s="22" t="s">
        <v>22</v>
      </c>
      <c r="B1" s="23" t="s">
        <v>28</v>
      </c>
      <c r="C1" s="23" t="s">
        <v>29</v>
      </c>
      <c r="D1" s="23" t="s">
        <v>30</v>
      </c>
      <c r="E1" s="23" t="s">
        <v>12</v>
      </c>
      <c r="F1" s="24"/>
    </row>
    <row r="2" spans="1:6" ht="15.75" thickBot="1" x14ac:dyDescent="0.3">
      <c r="A2" s="25">
        <v>1.1000000000000001</v>
      </c>
      <c r="B2" s="140" t="s">
        <v>36</v>
      </c>
      <c r="C2" s="140"/>
      <c r="D2" s="140"/>
      <c r="E2" s="141"/>
      <c r="F2" s="24"/>
    </row>
    <row r="3" spans="1:6" ht="15.75" thickBot="1" x14ac:dyDescent="0.3">
      <c r="A3" s="26"/>
      <c r="B3" s="26"/>
      <c r="C3" s="26"/>
      <c r="D3" s="26"/>
      <c r="E3" s="26"/>
      <c r="F3" s="24"/>
    </row>
    <row r="4" spans="1:6" ht="15.75" thickBot="1" x14ac:dyDescent="0.3">
      <c r="A4" s="132" t="s">
        <v>62</v>
      </c>
      <c r="B4" s="142" t="s">
        <v>37</v>
      </c>
      <c r="C4" s="142"/>
      <c r="D4" s="142"/>
      <c r="E4" s="143"/>
      <c r="F4" s="24"/>
    </row>
    <row r="5" spans="1:6" ht="52.5" customHeight="1" thickBot="1" x14ac:dyDescent="0.3">
      <c r="A5" s="133"/>
      <c r="B5" s="137" t="s">
        <v>42</v>
      </c>
      <c r="C5" s="144"/>
      <c r="D5" s="144"/>
      <c r="E5" s="145"/>
      <c r="F5" s="24"/>
    </row>
    <row r="6" spans="1:6" ht="15.75" thickBot="1" x14ac:dyDescent="0.3">
      <c r="A6" s="65">
        <v>1</v>
      </c>
      <c r="B6" s="67" t="s">
        <v>39</v>
      </c>
      <c r="C6" s="27" t="s">
        <v>73</v>
      </c>
      <c r="D6" s="28" t="s">
        <v>17</v>
      </c>
      <c r="E6" s="29"/>
      <c r="F6" s="24"/>
    </row>
    <row r="7" spans="1:6" ht="15.75" thickBot="1" x14ac:dyDescent="0.3">
      <c r="A7" s="70">
        <v>2</v>
      </c>
      <c r="B7" s="58" t="s">
        <v>40</v>
      </c>
      <c r="C7" s="58" t="s">
        <v>46</v>
      </c>
      <c r="D7" s="49" t="s">
        <v>17</v>
      </c>
      <c r="E7" s="30"/>
      <c r="F7" s="24"/>
    </row>
    <row r="8" spans="1:6" ht="17.25" customHeight="1" thickBot="1" x14ac:dyDescent="0.3">
      <c r="A8" s="69">
        <v>3</v>
      </c>
      <c r="B8" s="68" t="s">
        <v>41</v>
      </c>
      <c r="C8" s="68" t="s">
        <v>48</v>
      </c>
      <c r="D8" s="49" t="s">
        <v>17</v>
      </c>
      <c r="E8" s="30"/>
      <c r="F8" s="24"/>
    </row>
    <row r="9" spans="1:6" ht="14.25" customHeight="1" thickBot="1" x14ac:dyDescent="0.3">
      <c r="A9" s="70">
        <v>4</v>
      </c>
      <c r="B9" s="58" t="s">
        <v>63</v>
      </c>
      <c r="C9" s="58" t="s">
        <v>49</v>
      </c>
      <c r="D9" s="73" t="s">
        <v>17</v>
      </c>
      <c r="E9" s="72"/>
      <c r="F9" s="24"/>
    </row>
    <row r="10" spans="1:6" ht="15.75" thickBot="1" x14ac:dyDescent="0.3">
      <c r="A10" s="66">
        <v>5</v>
      </c>
      <c r="B10" s="68" t="s">
        <v>44</v>
      </c>
      <c r="C10" s="31" t="s">
        <v>45</v>
      </c>
      <c r="D10" s="71" t="s">
        <v>17</v>
      </c>
      <c r="E10" s="72"/>
      <c r="F10" s="24"/>
    </row>
    <row r="11" spans="1:6" ht="15.75" thickBot="1" x14ac:dyDescent="0.3">
      <c r="A11" s="33"/>
      <c r="B11" s="34"/>
      <c r="C11" s="34"/>
      <c r="D11" s="35"/>
      <c r="E11" s="36"/>
      <c r="F11" s="24"/>
    </row>
    <row r="12" spans="1:6" ht="15.75" thickBot="1" x14ac:dyDescent="0.3">
      <c r="A12" s="132" t="s">
        <v>69</v>
      </c>
      <c r="B12" s="134" t="s">
        <v>38</v>
      </c>
      <c r="C12" s="135"/>
      <c r="D12" s="135"/>
      <c r="E12" s="136"/>
      <c r="F12" s="24"/>
    </row>
    <row r="13" spans="1:6" ht="53.25" customHeight="1" thickBot="1" x14ac:dyDescent="0.3">
      <c r="A13" s="133"/>
      <c r="B13" s="137" t="s">
        <v>43</v>
      </c>
      <c r="C13" s="138"/>
      <c r="D13" s="138"/>
      <c r="E13" s="139"/>
      <c r="F13" s="24"/>
    </row>
    <row r="14" spans="1:6" ht="15.75" thickBot="1" x14ac:dyDescent="0.3">
      <c r="A14" s="67">
        <v>1</v>
      </c>
      <c r="B14" s="67" t="s">
        <v>39</v>
      </c>
      <c r="C14" s="27" t="s">
        <v>72</v>
      </c>
      <c r="D14" s="49" t="s">
        <v>17</v>
      </c>
      <c r="E14" s="54"/>
      <c r="F14" s="24"/>
    </row>
    <row r="15" spans="1:6" ht="15.75" thickBot="1" x14ac:dyDescent="0.3">
      <c r="A15" s="64">
        <v>2</v>
      </c>
      <c r="B15" s="58" t="s">
        <v>40</v>
      </c>
      <c r="C15" s="58" t="s">
        <v>46</v>
      </c>
      <c r="D15" s="49" t="s">
        <v>17</v>
      </c>
      <c r="E15" s="54"/>
      <c r="F15" s="24"/>
    </row>
    <row r="16" spans="1:6" ht="15.75" thickBot="1" x14ac:dyDescent="0.3">
      <c r="A16" s="37">
        <v>3</v>
      </c>
      <c r="B16" s="68" t="s">
        <v>47</v>
      </c>
      <c r="C16" s="68" t="s">
        <v>48</v>
      </c>
      <c r="D16" s="49" t="s">
        <v>17</v>
      </c>
      <c r="E16" s="30"/>
      <c r="F16" s="24"/>
    </row>
    <row r="17" spans="1:6" ht="15.75" thickBot="1" x14ac:dyDescent="0.3">
      <c r="A17" s="70">
        <v>4</v>
      </c>
      <c r="B17" s="58" t="s">
        <v>63</v>
      </c>
      <c r="C17" s="58" t="s">
        <v>49</v>
      </c>
      <c r="D17" s="74" t="s">
        <v>17</v>
      </c>
      <c r="E17" s="39"/>
      <c r="F17" s="24"/>
    </row>
    <row r="18" spans="1:6" ht="15.75" thickBot="1" x14ac:dyDescent="0.3">
      <c r="A18" s="68">
        <v>5</v>
      </c>
      <c r="B18" s="68" t="s">
        <v>50</v>
      </c>
      <c r="C18" s="68" t="s">
        <v>51</v>
      </c>
      <c r="D18" s="50" t="s">
        <v>17</v>
      </c>
      <c r="E18" s="32"/>
      <c r="F18" s="24"/>
    </row>
    <row r="19" spans="1:6" ht="15.75" thickBot="1" x14ac:dyDescent="0.3">
      <c r="A19" s="26"/>
      <c r="B19" s="26"/>
      <c r="C19" s="26"/>
      <c r="D19" s="26"/>
      <c r="E19" s="26"/>
      <c r="F19" s="38"/>
    </row>
    <row r="20" spans="1:6" ht="15.75" thickBot="1" x14ac:dyDescent="0.3">
      <c r="A20" s="132" t="s">
        <v>70</v>
      </c>
      <c r="B20" s="142" t="s">
        <v>71</v>
      </c>
      <c r="C20" s="142"/>
      <c r="D20" s="142"/>
      <c r="E20" s="143"/>
    </row>
    <row r="21" spans="1:6" ht="46.5" customHeight="1" thickBot="1" x14ac:dyDescent="0.3">
      <c r="A21" s="133"/>
      <c r="B21" s="137" t="s">
        <v>75</v>
      </c>
      <c r="C21" s="144"/>
      <c r="D21" s="144"/>
      <c r="E21" s="145"/>
    </row>
    <row r="22" spans="1:6" ht="15.75" thickBot="1" x14ac:dyDescent="0.3">
      <c r="A22" s="65">
        <v>1</v>
      </c>
      <c r="B22" s="67" t="s">
        <v>39</v>
      </c>
      <c r="C22" s="27" t="s">
        <v>72</v>
      </c>
      <c r="D22" s="28" t="s">
        <v>17</v>
      </c>
      <c r="E22" s="29"/>
    </row>
    <row r="23" spans="1:6" ht="15.75" thickBot="1" x14ac:dyDescent="0.3">
      <c r="A23" s="64">
        <v>2</v>
      </c>
      <c r="B23" s="58" t="s">
        <v>74</v>
      </c>
      <c r="C23" s="58" t="s">
        <v>76</v>
      </c>
      <c r="D23" s="146" t="s">
        <v>17</v>
      </c>
      <c r="E23" s="147"/>
    </row>
    <row r="24" spans="1:6" ht="15.75" thickBot="1" x14ac:dyDescent="0.3">
      <c r="A24" s="69">
        <v>3</v>
      </c>
      <c r="B24" s="68" t="s">
        <v>40</v>
      </c>
      <c r="C24" s="68" t="s">
        <v>46</v>
      </c>
      <c r="D24" s="49" t="s">
        <v>17</v>
      </c>
      <c r="E24" s="30"/>
    </row>
    <row r="25" spans="1:6" ht="15.75" thickBot="1" x14ac:dyDescent="0.3">
      <c r="A25" s="64">
        <v>4</v>
      </c>
      <c r="B25" s="58" t="s">
        <v>82</v>
      </c>
      <c r="C25" s="58" t="s">
        <v>81</v>
      </c>
      <c r="D25" s="49" t="s">
        <v>17</v>
      </c>
      <c r="E25" s="30"/>
    </row>
    <row r="26" spans="1:6" ht="15.75" thickBot="1" x14ac:dyDescent="0.3">
      <c r="A26" s="65">
        <v>5</v>
      </c>
      <c r="B26" s="67" t="s">
        <v>85</v>
      </c>
      <c r="C26" s="27" t="s">
        <v>86</v>
      </c>
      <c r="D26" s="73" t="s">
        <v>17</v>
      </c>
      <c r="E26" s="72"/>
    </row>
    <row r="27" spans="1:6" ht="15.75" thickBot="1" x14ac:dyDescent="0.3">
      <c r="A27" s="64">
        <v>6</v>
      </c>
      <c r="B27" s="58" t="s">
        <v>83</v>
      </c>
      <c r="C27" s="58" t="s">
        <v>84</v>
      </c>
      <c r="D27" s="71" t="s">
        <v>17</v>
      </c>
      <c r="E27" s="72"/>
    </row>
    <row r="28" spans="1:6" ht="15.75" thickBot="1" x14ac:dyDescent="0.3">
      <c r="A28" s="65">
        <v>7</v>
      </c>
      <c r="B28" s="68" t="s">
        <v>77</v>
      </c>
      <c r="C28" s="31" t="s">
        <v>78</v>
      </c>
      <c r="D28" s="71" t="s">
        <v>17</v>
      </c>
      <c r="E28" s="72"/>
    </row>
    <row r="29" spans="1:6" ht="15.75" thickBot="1" x14ac:dyDescent="0.3">
      <c r="A29" s="33"/>
      <c r="B29" s="34"/>
      <c r="C29" s="34"/>
      <c r="D29" s="35"/>
      <c r="E29" s="36"/>
    </row>
  </sheetData>
  <sheetProtection selectLockedCells="1" selectUnlockedCells="1"/>
  <mergeCells count="10">
    <mergeCell ref="A20:A21"/>
    <mergeCell ref="B20:E20"/>
    <mergeCell ref="B21:E21"/>
    <mergeCell ref="A12:A13"/>
    <mergeCell ref="B12:E12"/>
    <mergeCell ref="B13:E13"/>
    <mergeCell ref="B2:E2"/>
    <mergeCell ref="B4:E4"/>
    <mergeCell ref="B5:E5"/>
    <mergeCell ref="A4:A5"/>
  </mergeCells>
  <phoneticPr fontId="35" type="noConversion"/>
  <conditionalFormatting sqref="D1:D11 D14:D18 D30:D1048576">
    <cfRule type="containsText" dxfId="24" priority="12" operator="containsText" text="Not Applicable">
      <formula>NOT(ISERROR(SEARCH("Not Applicable",D1)))</formula>
    </cfRule>
    <cfRule type="containsText" dxfId="23" priority="13" operator="containsText" text="Not Executed">
      <formula>NOT(ISERROR(SEARCH("Not Executed",D1)))</formula>
    </cfRule>
    <cfRule type="containsText" dxfId="22" priority="14" operator="containsText" text="Fail">
      <formula>NOT(ISERROR(SEARCH("Fail",D1)))</formula>
    </cfRule>
    <cfRule type="containsText" dxfId="21" priority="15" operator="containsText" text="Pass">
      <formula>NOT(ISERROR(SEARCH("Pass",D1)))</formula>
    </cfRule>
  </conditionalFormatting>
  <conditionalFormatting sqref="D1:D18 D30:D1048576">
    <cfRule type="containsText" dxfId="20" priority="11" operator="containsText" text="Pending Review">
      <formula>NOT(ISERROR(SEARCH("Pending Review",D1)))</formula>
    </cfRule>
  </conditionalFormatting>
  <conditionalFormatting sqref="D19:D24 D26:D29">
    <cfRule type="containsText" dxfId="19" priority="6" operator="containsText" text="Pending Review">
      <formula>NOT(ISERROR(SEARCH("Pending Review",D19)))</formula>
    </cfRule>
  </conditionalFormatting>
  <conditionalFormatting sqref="D19:D24 D26:D29">
    <cfRule type="containsText" dxfId="18" priority="7" operator="containsText" text="Not Applicable">
      <formula>NOT(ISERROR(SEARCH("Not Applicable",D19)))</formula>
    </cfRule>
    <cfRule type="containsText" dxfId="17" priority="8" operator="containsText" text="Not Executed">
      <formula>NOT(ISERROR(SEARCH("Not Executed",D19)))</formula>
    </cfRule>
    <cfRule type="containsText" dxfId="16" priority="9" operator="containsText" text="Fail">
      <formula>NOT(ISERROR(SEARCH("Fail",D19)))</formula>
    </cfRule>
    <cfRule type="containsText" dxfId="15" priority="10" operator="containsText" text="Pass">
      <formula>NOT(ISERROR(SEARCH("Pass",D19)))</formula>
    </cfRule>
  </conditionalFormatting>
  <conditionalFormatting sqref="D25">
    <cfRule type="containsText" dxfId="9" priority="1" operator="containsText" text="Pending Review">
      <formula>NOT(ISERROR(SEARCH("Pending Review",D25)))</formula>
    </cfRule>
  </conditionalFormatting>
  <conditionalFormatting sqref="D25">
    <cfRule type="containsText" dxfId="7" priority="2" operator="containsText" text="Not Applicable">
      <formula>NOT(ISERROR(SEARCH("Not Applicable",D25)))</formula>
    </cfRule>
    <cfRule type="containsText" dxfId="6" priority="3" operator="containsText" text="Not Executed">
      <formula>NOT(ISERROR(SEARCH("Not Executed",D25)))</formula>
    </cfRule>
    <cfRule type="containsText" dxfId="5" priority="4" operator="containsText" text="Fail">
      <formula>NOT(ISERROR(SEARCH("Fail",D25)))</formula>
    </cfRule>
    <cfRule type="containsText" dxfId="4" priority="5" operator="containsText" text="Pass">
      <formula>NOT(ISERROR(SEARCH("Pass",D25)))</formula>
    </cfRule>
  </conditionalFormatting>
  <dataValidations count="1">
    <dataValidation type="list" allowBlank="1" showInputMessage="1" showErrorMessage="1" sqref="D6:D10 D14:D18 D22:D28">
      <formula1>"Pass,Fail,Not Executed,Not Applicable,Pending Review"</formula1>
    </dataValidation>
  </dataValidations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B13" sqref="B13"/>
    </sheetView>
  </sheetViews>
  <sheetFormatPr defaultRowHeight="15" x14ac:dyDescent="0.25"/>
  <cols>
    <col min="1" max="1" width="9.7109375" style="18" customWidth="1"/>
    <col min="2" max="2" width="96.7109375" style="17" customWidth="1"/>
    <col min="3" max="3" width="68.85546875" style="17" customWidth="1"/>
    <col min="4" max="4" width="17.7109375" style="16" customWidth="1"/>
    <col min="5" max="5" width="54.7109375" style="17" customWidth="1"/>
    <col min="6" max="16384" width="9.140625" style="17"/>
  </cols>
  <sheetData>
    <row r="1" spans="1:6" ht="16.5" thickBot="1" x14ac:dyDescent="0.3">
      <c r="A1" s="22" t="s">
        <v>22</v>
      </c>
      <c r="B1" s="23" t="s">
        <v>28</v>
      </c>
      <c r="C1" s="23" t="s">
        <v>29</v>
      </c>
      <c r="D1" s="23" t="s">
        <v>30</v>
      </c>
      <c r="E1" s="23" t="s">
        <v>12</v>
      </c>
      <c r="F1" s="24"/>
    </row>
    <row r="2" spans="1:6" ht="15.75" thickBot="1" x14ac:dyDescent="0.3">
      <c r="A2" s="25">
        <v>1.2</v>
      </c>
      <c r="B2" s="140" t="s">
        <v>79</v>
      </c>
      <c r="C2" s="140"/>
      <c r="D2" s="140"/>
      <c r="E2" s="141"/>
      <c r="F2" s="24"/>
    </row>
    <row r="3" spans="1:6" ht="15.75" thickBot="1" x14ac:dyDescent="0.3">
      <c r="A3" s="26"/>
      <c r="B3" s="26"/>
      <c r="C3" s="26"/>
      <c r="D3" s="26"/>
      <c r="E3" s="26"/>
      <c r="F3" s="24"/>
    </row>
    <row r="4" spans="1:6" ht="15.75" thickBot="1" x14ac:dyDescent="0.3">
      <c r="A4" s="132" t="s">
        <v>80</v>
      </c>
      <c r="B4" s="142" t="s">
        <v>79</v>
      </c>
      <c r="C4" s="142"/>
      <c r="D4" s="142"/>
      <c r="E4" s="143"/>
      <c r="F4" s="24"/>
    </row>
    <row r="5" spans="1:6" ht="52.5" customHeight="1" thickBot="1" x14ac:dyDescent="0.3">
      <c r="A5" s="133"/>
      <c r="B5" s="137" t="s">
        <v>42</v>
      </c>
      <c r="C5" s="144"/>
      <c r="D5" s="144"/>
      <c r="E5" s="145"/>
      <c r="F5" s="24"/>
    </row>
    <row r="6" spans="1:6" ht="15.75" thickBot="1" x14ac:dyDescent="0.3">
      <c r="A6" s="65">
        <v>1</v>
      </c>
      <c r="B6" s="67" t="s">
        <v>39</v>
      </c>
      <c r="C6" s="27" t="s">
        <v>73</v>
      </c>
      <c r="D6" s="28" t="s">
        <v>17</v>
      </c>
      <c r="E6" s="29"/>
      <c r="F6" s="24"/>
    </row>
    <row r="7" spans="1:6" ht="15.75" thickBot="1" x14ac:dyDescent="0.3">
      <c r="A7" s="58">
        <v>2</v>
      </c>
      <c r="B7" s="58" t="s">
        <v>40</v>
      </c>
      <c r="C7" s="58" t="s">
        <v>46</v>
      </c>
      <c r="D7" s="49" t="s">
        <v>17</v>
      </c>
      <c r="E7" s="30"/>
      <c r="F7" s="24"/>
    </row>
    <row r="8" spans="1:6" ht="17.25" customHeight="1" thickBot="1" x14ac:dyDescent="0.3">
      <c r="A8" s="65">
        <v>3</v>
      </c>
      <c r="B8" s="68" t="s">
        <v>41</v>
      </c>
      <c r="C8" s="68" t="s">
        <v>48</v>
      </c>
      <c r="D8" s="49" t="s">
        <v>17</v>
      </c>
      <c r="E8" s="30"/>
      <c r="F8" s="24"/>
    </row>
    <row r="9" spans="1:6" ht="15.75" thickBot="1" x14ac:dyDescent="0.3">
      <c r="A9" s="58">
        <v>4</v>
      </c>
      <c r="B9" s="58" t="s">
        <v>87</v>
      </c>
      <c r="C9" s="58" t="s">
        <v>88</v>
      </c>
      <c r="D9" s="71" t="s">
        <v>17</v>
      </c>
      <c r="E9" s="72"/>
      <c r="F9" s="24"/>
    </row>
    <row r="10" spans="1:6" ht="15.75" thickBot="1" x14ac:dyDescent="0.3">
      <c r="A10" s="33"/>
      <c r="B10" s="34"/>
      <c r="C10" s="34"/>
      <c r="D10" s="35"/>
      <c r="E10" s="36"/>
    </row>
  </sheetData>
  <mergeCells count="4">
    <mergeCell ref="B2:E2"/>
    <mergeCell ref="A4:A5"/>
    <mergeCell ref="B4:E4"/>
    <mergeCell ref="B5:E5"/>
  </mergeCells>
  <phoneticPr fontId="35" type="noConversion"/>
  <conditionalFormatting sqref="D1:D1048576">
    <cfRule type="containsText" dxfId="14" priority="7" operator="containsText" text="Not Applicable">
      <formula>NOT(ISERROR(SEARCH("Not Applicable",D1)))</formula>
    </cfRule>
    <cfRule type="containsText" dxfId="13" priority="8" operator="containsText" text="Not Executed">
      <formula>NOT(ISERROR(SEARCH("Not Executed",D1)))</formula>
    </cfRule>
    <cfRule type="containsText" dxfId="12" priority="9" operator="containsText" text="Fail">
      <formula>NOT(ISERROR(SEARCH("Fail",D1)))</formula>
    </cfRule>
    <cfRule type="containsText" dxfId="11" priority="10" operator="containsText" text="Pass">
      <formula>NOT(ISERROR(SEARCH("Pass",D1)))</formula>
    </cfRule>
  </conditionalFormatting>
  <conditionalFormatting sqref="D1:D1048576">
    <cfRule type="containsText" dxfId="10" priority="6" operator="containsText" text="Pending Review">
      <formula>NOT(ISERROR(SEARCH("Pending Review",D1)))</formula>
    </cfRule>
  </conditionalFormatting>
  <dataValidations count="1">
    <dataValidation type="list" allowBlank="1" showInputMessage="1" showErrorMessage="1" sqref="D6:D9">
      <formula1>"Pass,Fail,Not Executed,Not Applicable,Pending Review"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"/>
  <sheetViews>
    <sheetView zoomScale="110" zoomScaleNormal="110" workbookViewId="0">
      <selection activeCell="C17" sqref="C17"/>
    </sheetView>
  </sheetViews>
  <sheetFormatPr defaultColWidth="8.7109375" defaultRowHeight="15" x14ac:dyDescent="0.25"/>
  <cols>
    <col min="1" max="1" width="8.7109375" style="1"/>
    <col min="2" max="2" width="11.7109375" style="1" customWidth="1"/>
    <col min="3" max="3" width="15.5703125" style="1" customWidth="1"/>
    <col min="4" max="4" width="10.5703125" style="1" customWidth="1"/>
    <col min="5" max="5" width="11.140625" style="1" customWidth="1"/>
    <col min="6" max="6" width="85.140625" style="1" customWidth="1"/>
    <col min="7" max="16384" width="8.7109375" style="1"/>
  </cols>
  <sheetData>
    <row r="2" spans="2:6" x14ac:dyDescent="0.25">
      <c r="B2" s="19" t="s">
        <v>23</v>
      </c>
      <c r="C2" s="20" t="s">
        <v>24</v>
      </c>
      <c r="D2" s="20" t="s">
        <v>25</v>
      </c>
      <c r="E2" s="20" t="s">
        <v>26</v>
      </c>
      <c r="F2" s="21" t="s">
        <v>27</v>
      </c>
    </row>
    <row r="3" spans="2:6" x14ac:dyDescent="0.25">
      <c r="B3" s="1">
        <v>1</v>
      </c>
      <c r="C3" s="1" t="s">
        <v>31</v>
      </c>
      <c r="D3" s="1" t="s">
        <v>32</v>
      </c>
      <c r="F3" s="1" t="s">
        <v>33</v>
      </c>
    </row>
    <row r="4" spans="2:6" x14ac:dyDescent="0.25">
      <c r="C4" s="55"/>
    </row>
    <row r="5" spans="2:6" x14ac:dyDescent="0.25">
      <c r="C5" s="55"/>
    </row>
    <row r="6" spans="2:6" x14ac:dyDescent="0.25">
      <c r="C6" s="55"/>
    </row>
    <row r="7" spans="2:6" x14ac:dyDescent="0.25">
      <c r="C7" s="55"/>
    </row>
    <row r="8" spans="2:6" x14ac:dyDescent="0.25">
      <c r="C8" s="55"/>
      <c r="F8" s="60"/>
    </row>
    <row r="9" spans="2:6" x14ac:dyDescent="0.25">
      <c r="C9" s="55"/>
      <c r="F9" s="60"/>
    </row>
    <row r="10" spans="2:6" x14ac:dyDescent="0.25">
      <c r="C10" s="55"/>
    </row>
    <row r="11" spans="2:6" x14ac:dyDescent="0.25">
      <c r="C11" s="55"/>
    </row>
    <row r="12" spans="2:6" x14ac:dyDescent="0.25">
      <c r="C12" s="55"/>
    </row>
    <row r="13" spans="2:6" x14ac:dyDescent="0.25">
      <c r="C13" s="55"/>
    </row>
    <row r="14" spans="2:6" x14ac:dyDescent="0.25">
      <c r="C14" s="55"/>
    </row>
  </sheetData>
  <sheetProtection selectLockedCells="1" selectUnlockedCells="1"/>
  <phoneticPr fontId="35" type="noConversion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BE14605BFE4C4CAA6B35875E44ABA7" ma:contentTypeVersion="1" ma:contentTypeDescription="Create a new document." ma:contentTypeScope="" ma:versionID="a3c54e0983df13446bbc8fa687c7d3d8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8572caf305a4b6fb7c2c1ba36ee953bd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502DB4-CE81-4EAF-AA31-163A35522D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75CD1B-2CED-4D7B-94C0-4EDA1B98D061}">
  <ds:schemaRefs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sharepoint/v4"/>
  </ds:schemaRefs>
</ds:datastoreItem>
</file>

<file path=customXml/itemProps3.xml><?xml version="1.0" encoding="utf-8"?>
<ds:datastoreItem xmlns:ds="http://schemas.openxmlformats.org/officeDocument/2006/customXml" ds:itemID="{5041051C-8435-43FF-BF0F-8B38F9C45A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Overview</vt:lpstr>
      <vt:lpstr>OnSoftBtnClicked</vt:lpstr>
      <vt:lpstr>OnTimeOut</vt:lpstr>
      <vt:lpstr>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Szado, Chris (C.J.)</dc:creator>
  <cp:lastModifiedBy>Pactera</cp:lastModifiedBy>
  <cp:lastPrinted>2014-06-09T19:27:34Z</cp:lastPrinted>
  <dcterms:created xsi:type="dcterms:W3CDTF">2014-02-11T14:38:25Z</dcterms:created>
  <dcterms:modified xsi:type="dcterms:W3CDTF">2018-04-12T09:56:39Z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0x010100F4BE14605BFE4C4CAA6B35875E44ABA7</vt:lpwstr>
  </property>
  <property fmtid="{D5CDD505-2E9C-101B-9397-08002B2CF9AE}" pid="3" name="_NewReviewCycle">
    <vt:lpwstr/>
  </property>
</Properties>
</file>